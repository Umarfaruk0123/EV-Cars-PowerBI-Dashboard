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_Target_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4"/>
    </font>
    <font>
      <name val="Arial"/>
      <b val="1"/>
      <sz val="11"/>
    </font>
    <font>
      <name val="Arial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8" customWidth="1" min="3" max="3"/>
    <col width="8" customWidth="1" min="4" max="4"/>
    <col width="8" customWidth="1" min="5" max="5"/>
    <col width="16" customWidth="1" min="6" max="6"/>
    <col width="16" customWidth="1" min="7" max="7"/>
    <col width="10" customWidth="1" min="8" max="8"/>
    <col width="18" customWidth="1" min="9" max="9"/>
    <col width="14" customWidth="1" min="10" max="10"/>
    <col width="13" customWidth="1" min="11" max="11"/>
    <col width="22" customWidth="1" min="12" max="12"/>
    <col width="22" customWidth="1" min="13" max="13"/>
    <col width="14" customWidth="1" min="14" max="14"/>
    <col width="18" customWidth="1" min="15" max="15"/>
    <col width="14" customWidth="1" min="16" max="16"/>
    <col width="14" customWidth="1" min="17" max="17"/>
  </cols>
  <sheetData>
    <row r="1" ht="30" customHeight="1">
      <c r="A1" s="1" t="inlineStr">
        <is>
          <t>EV_ID</t>
        </is>
      </c>
      <c r="B1" s="1" t="inlineStr">
        <is>
          <t>Month</t>
        </is>
      </c>
      <c r="C1" s="1" t="inlineStr">
        <is>
          <t>Year</t>
        </is>
      </c>
      <c r="D1" s="1" t="inlineStr">
        <is>
          <t>Quarter</t>
        </is>
      </c>
      <c r="E1" s="1" t="inlineStr">
        <is>
          <t>EV_Type</t>
        </is>
      </c>
      <c r="F1" s="1" t="inlineStr">
        <is>
          <t>Vehicle_Segment</t>
        </is>
      </c>
      <c r="G1" s="1" t="inlineStr">
        <is>
          <t>Brand</t>
        </is>
      </c>
      <c r="H1" s="1" t="inlineStr">
        <is>
          <t>Region</t>
        </is>
      </c>
      <c r="I1" s="1" t="inlineStr">
        <is>
          <t>State</t>
        </is>
      </c>
      <c r="J1" s="1" t="inlineStr">
        <is>
          <t>Target_Units</t>
        </is>
      </c>
      <c r="K1" s="1" t="inlineStr">
        <is>
          <t>Actual_Units</t>
        </is>
      </c>
      <c r="L1" s="1" t="inlineStr">
        <is>
          <t>Target_Revenue_INR</t>
        </is>
      </c>
      <c r="M1" s="1" t="inlineStr">
        <is>
          <t>Actual_Revenue_INR</t>
        </is>
      </c>
      <c r="N1" s="1" t="inlineStr">
        <is>
          <t>Achievement_%</t>
        </is>
      </c>
      <c r="O1" s="1" t="inlineStr">
        <is>
          <t>Charging_Stations</t>
        </is>
      </c>
      <c r="P1" s="1" t="inlineStr">
        <is>
          <t>Avg_Range_KM</t>
        </is>
      </c>
      <c r="Q1" s="1" t="inlineStr">
        <is>
          <t>Is_Target_Met</t>
        </is>
      </c>
    </row>
    <row r="2">
      <c r="A2" s="2" t="inlineStr">
        <is>
          <t>EV0001</t>
        </is>
      </c>
      <c r="B2" s="2" t="inlineStr">
        <is>
          <t>January</t>
        </is>
      </c>
      <c r="C2" s="2" t="n">
        <v>2023</v>
      </c>
      <c r="D2" s="2" t="inlineStr">
        <is>
          <t>Q1</t>
        </is>
      </c>
      <c r="E2" s="2" t="inlineStr">
        <is>
          <t>BEV</t>
        </is>
      </c>
      <c r="F2" s="2" t="inlineStr">
        <is>
          <t>Passenger Car</t>
        </is>
      </c>
      <c r="G2" s="2" t="inlineStr">
        <is>
          <t>Ola Electric</t>
        </is>
      </c>
      <c r="H2" s="2" t="inlineStr">
        <is>
          <t>North</t>
        </is>
      </c>
      <c r="I2" s="2" t="inlineStr">
        <is>
          <t>Delhi</t>
        </is>
      </c>
      <c r="J2" s="2" t="n">
        <v>2328</v>
      </c>
      <c r="K2" s="2" t="n">
        <v>1824</v>
      </c>
      <c r="L2" s="3" t="n">
        <v>1187035560</v>
      </c>
      <c r="M2" s="3" t="n">
        <v>930048480</v>
      </c>
      <c r="N2" s="4">
        <f>IF(J2=0,0,K2/J2)</f>
        <v/>
      </c>
      <c r="O2" s="2" t="n">
        <v>80</v>
      </c>
      <c r="P2" s="2" t="n">
        <v>224</v>
      </c>
      <c r="Q2" s="5" t="inlineStr">
        <is>
          <t>No</t>
        </is>
      </c>
    </row>
    <row r="3">
      <c r="A3" s="6" t="inlineStr">
        <is>
          <t>EV0002</t>
        </is>
      </c>
      <c r="B3" s="6" t="inlineStr">
        <is>
          <t>January</t>
        </is>
      </c>
      <c r="C3" s="6" t="n">
        <v>2023</v>
      </c>
      <c r="D3" s="6" t="inlineStr">
        <is>
          <t>Q1</t>
        </is>
      </c>
      <c r="E3" s="6" t="inlineStr">
        <is>
          <t>BEV</t>
        </is>
      </c>
      <c r="F3" s="6" t="inlineStr">
        <is>
          <t>2-Wheeler</t>
        </is>
      </c>
      <c r="G3" s="6" t="inlineStr">
        <is>
          <t>MG Motor</t>
        </is>
      </c>
      <c r="H3" s="6" t="inlineStr">
        <is>
          <t>South</t>
        </is>
      </c>
      <c r="I3" s="6" t="inlineStr">
        <is>
          <t>Telangana</t>
        </is>
      </c>
      <c r="J3" s="6" t="n">
        <v>2291</v>
      </c>
      <c r="K3" s="6" t="n">
        <v>1923</v>
      </c>
      <c r="L3" s="7" t="n">
        <v>438266009</v>
      </c>
      <c r="M3" s="7" t="n">
        <v>367867977</v>
      </c>
      <c r="N3" s="8">
        <f>IF(J3=0,0,K3/J3)</f>
        <v/>
      </c>
      <c r="O3" s="6" t="n">
        <v>96</v>
      </c>
      <c r="P3" s="6" t="n">
        <v>281</v>
      </c>
      <c r="Q3" s="5" t="inlineStr">
        <is>
          <t>No</t>
        </is>
      </c>
    </row>
    <row r="4">
      <c r="A4" s="2" t="inlineStr">
        <is>
          <t>EV0003</t>
        </is>
      </c>
      <c r="B4" s="2" t="inlineStr">
        <is>
          <t>January</t>
        </is>
      </c>
      <c r="C4" s="2" t="n">
        <v>2023</v>
      </c>
      <c r="D4" s="2" t="inlineStr">
        <is>
          <t>Q1</t>
        </is>
      </c>
      <c r="E4" s="2" t="inlineStr">
        <is>
          <t>BEV</t>
        </is>
      </c>
      <c r="F4" s="2" t="inlineStr">
        <is>
          <t>SUV</t>
        </is>
      </c>
      <c r="G4" s="2" t="inlineStr">
        <is>
          <t>Bajaj</t>
        </is>
      </c>
      <c r="H4" s="2" t="inlineStr">
        <is>
          <t>East</t>
        </is>
      </c>
      <c r="I4" s="2" t="inlineStr">
        <is>
          <t>Jharkhand</t>
        </is>
      </c>
      <c r="J4" s="2" t="n">
        <v>2778</v>
      </c>
      <c r="K4" s="2" t="n">
        <v>3293</v>
      </c>
      <c r="L4" s="3" t="n">
        <v>297959946</v>
      </c>
      <c r="M4" s="3" t="n">
        <v>353197301</v>
      </c>
      <c r="N4" s="4">
        <f>IF(J4=0,0,K4/J4)</f>
        <v/>
      </c>
      <c r="O4" s="2" t="n">
        <v>94</v>
      </c>
      <c r="P4" s="2" t="n">
        <v>261</v>
      </c>
      <c r="Q4" s="9" t="inlineStr">
        <is>
          <t>Yes</t>
        </is>
      </c>
    </row>
    <row r="5">
      <c r="A5" s="6" t="inlineStr">
        <is>
          <t>EV0004</t>
        </is>
      </c>
      <c r="B5" s="6" t="inlineStr">
        <is>
          <t>January</t>
        </is>
      </c>
      <c r="C5" s="6" t="n">
        <v>2023</v>
      </c>
      <c r="D5" s="6" t="inlineStr">
        <is>
          <t>Q1</t>
        </is>
      </c>
      <c r="E5" s="6" t="inlineStr">
        <is>
          <t>PHEV</t>
        </is>
      </c>
      <c r="F5" s="6" t="inlineStr">
        <is>
          <t>Passenger Car</t>
        </is>
      </c>
      <c r="G5" s="6" t="inlineStr">
        <is>
          <t>Hyundai</t>
        </is>
      </c>
      <c r="H5" s="6" t="inlineStr">
        <is>
          <t>West</t>
        </is>
      </c>
      <c r="I5" s="6" t="inlineStr">
        <is>
          <t>Goa</t>
        </is>
      </c>
      <c r="J5" s="6" t="n">
        <v>2263</v>
      </c>
      <c r="K5" s="6" t="n">
        <v>2883</v>
      </c>
      <c r="L5" s="7" t="n">
        <v>3375895877</v>
      </c>
      <c r="M5" s="7" t="n">
        <v>4300798857</v>
      </c>
      <c r="N5" s="8">
        <f>IF(J5=0,0,K5/J5)</f>
        <v/>
      </c>
      <c r="O5" s="6" t="n">
        <v>16</v>
      </c>
      <c r="P5" s="6" t="n">
        <v>56</v>
      </c>
      <c r="Q5" s="9" t="inlineStr">
        <is>
          <t>Yes</t>
        </is>
      </c>
    </row>
    <row r="6">
      <c r="A6" s="2" t="inlineStr">
        <is>
          <t>EV0005</t>
        </is>
      </c>
      <c r="B6" s="2" t="inlineStr">
        <is>
          <t>January</t>
        </is>
      </c>
      <c r="C6" s="2" t="n">
        <v>2023</v>
      </c>
      <c r="D6" s="2" t="inlineStr">
        <is>
          <t>Q1</t>
        </is>
      </c>
      <c r="E6" s="2" t="inlineStr">
        <is>
          <t>BEV</t>
        </is>
      </c>
      <c r="F6" s="2" t="inlineStr">
        <is>
          <t>Passenger Car</t>
        </is>
      </c>
      <c r="G6" s="2" t="inlineStr">
        <is>
          <t>Hero Electric</t>
        </is>
      </c>
      <c r="H6" s="2" t="inlineStr">
        <is>
          <t>Central</t>
        </is>
      </c>
      <c r="I6" s="2" t="inlineStr">
        <is>
          <t>Chhattisgarh</t>
        </is>
      </c>
      <c r="J6" s="2" t="n">
        <v>2666</v>
      </c>
      <c r="K6" s="2" t="n">
        <v>3157</v>
      </c>
      <c r="L6" s="3" t="n">
        <v>5350574022</v>
      </c>
      <c r="M6" s="3" t="n">
        <v>6335994819</v>
      </c>
      <c r="N6" s="4">
        <f>IF(J6=0,0,K6/J6)</f>
        <v/>
      </c>
      <c r="O6" s="2" t="n">
        <v>53</v>
      </c>
      <c r="P6" s="2" t="n">
        <v>243</v>
      </c>
      <c r="Q6" s="9" t="inlineStr">
        <is>
          <t>Yes</t>
        </is>
      </c>
    </row>
    <row r="7">
      <c r="A7" s="6" t="inlineStr">
        <is>
          <t>EV0006</t>
        </is>
      </c>
      <c r="B7" s="6" t="inlineStr">
        <is>
          <t>February</t>
        </is>
      </c>
      <c r="C7" s="6" t="n">
        <v>2023</v>
      </c>
      <c r="D7" s="6" t="inlineStr">
        <is>
          <t>Q1</t>
        </is>
      </c>
      <c r="E7" s="6" t="inlineStr">
        <is>
          <t>HEV</t>
        </is>
      </c>
      <c r="F7" s="6" t="inlineStr">
        <is>
          <t>Passenger Car</t>
        </is>
      </c>
      <c r="G7" s="6" t="inlineStr">
        <is>
          <t>Bajaj</t>
        </is>
      </c>
      <c r="H7" s="6" t="inlineStr">
        <is>
          <t>North</t>
        </is>
      </c>
      <c r="I7" s="6" t="inlineStr">
        <is>
          <t>Delhi</t>
        </is>
      </c>
      <c r="J7" s="6" t="n">
        <v>3462</v>
      </c>
      <c r="K7" s="6" t="n">
        <v>3622</v>
      </c>
      <c r="L7" s="7" t="n">
        <v>1286946570</v>
      </c>
      <c r="M7" s="7" t="n">
        <v>1346424170</v>
      </c>
      <c r="N7" s="8">
        <f>IF(J7=0,0,K7/J7)</f>
        <v/>
      </c>
      <c r="O7" s="6" t="n">
        <v>10</v>
      </c>
      <c r="P7" s="6" t="n">
        <v>0</v>
      </c>
      <c r="Q7" s="9" t="inlineStr">
        <is>
          <t>Yes</t>
        </is>
      </c>
    </row>
    <row r="8">
      <c r="A8" s="2" t="inlineStr">
        <is>
          <t>EV0007</t>
        </is>
      </c>
      <c r="B8" s="2" t="inlineStr">
        <is>
          <t>February</t>
        </is>
      </c>
      <c r="C8" s="2" t="n">
        <v>2023</v>
      </c>
      <c r="D8" s="2" t="inlineStr">
        <is>
          <t>Q1</t>
        </is>
      </c>
      <c r="E8" s="2" t="inlineStr">
        <is>
          <t>PHEV</t>
        </is>
      </c>
      <c r="F8" s="2" t="inlineStr">
        <is>
          <t>2-Wheeler</t>
        </is>
      </c>
      <c r="G8" s="2" t="inlineStr">
        <is>
          <t>Ola Electric</t>
        </is>
      </c>
      <c r="H8" s="2" t="inlineStr">
        <is>
          <t>South</t>
        </is>
      </c>
      <c r="I8" s="2" t="inlineStr">
        <is>
          <t>Karnataka</t>
        </is>
      </c>
      <c r="J8" s="2" t="n">
        <v>1327</v>
      </c>
      <c r="K8" s="2" t="n">
        <v>1231</v>
      </c>
      <c r="L8" s="3" t="n">
        <v>2629768980</v>
      </c>
      <c r="M8" s="3" t="n">
        <v>2439521940</v>
      </c>
      <c r="N8" s="4">
        <f>IF(J8=0,0,K8/J8)</f>
        <v/>
      </c>
      <c r="O8" s="2" t="n">
        <v>111</v>
      </c>
      <c r="P8" s="2" t="n">
        <v>90</v>
      </c>
      <c r="Q8" s="5" t="inlineStr">
        <is>
          <t>No</t>
        </is>
      </c>
    </row>
    <row r="9">
      <c r="A9" s="6" t="inlineStr">
        <is>
          <t>EV0008</t>
        </is>
      </c>
      <c r="B9" s="6" t="inlineStr">
        <is>
          <t>February</t>
        </is>
      </c>
      <c r="C9" s="6" t="n">
        <v>2023</v>
      </c>
      <c r="D9" s="6" t="inlineStr">
        <is>
          <t>Q1</t>
        </is>
      </c>
      <c r="E9" s="6" t="inlineStr">
        <is>
          <t>BEV</t>
        </is>
      </c>
      <c r="F9" s="6" t="inlineStr">
        <is>
          <t>Passenger Car</t>
        </is>
      </c>
      <c r="G9" s="6" t="inlineStr">
        <is>
          <t>Hero Electric</t>
        </is>
      </c>
      <c r="H9" s="6" t="inlineStr">
        <is>
          <t>East</t>
        </is>
      </c>
      <c r="I9" s="6" t="inlineStr">
        <is>
          <t>Bihar</t>
        </is>
      </c>
      <c r="J9" s="6" t="n">
        <v>2216</v>
      </c>
      <c r="K9" s="6" t="n">
        <v>2442</v>
      </c>
      <c r="L9" s="7" t="n">
        <v>840934328</v>
      </c>
      <c r="M9" s="7" t="n">
        <v>926697486</v>
      </c>
      <c r="N9" s="8">
        <f>IF(J9=0,0,K9/J9)</f>
        <v/>
      </c>
      <c r="O9" s="6" t="n">
        <v>73</v>
      </c>
      <c r="P9" s="6" t="n">
        <v>267</v>
      </c>
      <c r="Q9" s="9" t="inlineStr">
        <is>
          <t>Yes</t>
        </is>
      </c>
    </row>
    <row r="10">
      <c r="A10" s="2" t="inlineStr">
        <is>
          <t>EV0009</t>
        </is>
      </c>
      <c r="B10" s="2" t="inlineStr">
        <is>
          <t>February</t>
        </is>
      </c>
      <c r="C10" s="2" t="n">
        <v>2023</v>
      </c>
      <c r="D10" s="2" t="inlineStr">
        <is>
          <t>Q1</t>
        </is>
      </c>
      <c r="E10" s="2" t="inlineStr">
        <is>
          <t>BEV</t>
        </is>
      </c>
      <c r="F10" s="2" t="inlineStr">
        <is>
          <t>SUV</t>
        </is>
      </c>
      <c r="G10" s="2" t="inlineStr">
        <is>
          <t>Mahindra</t>
        </is>
      </c>
      <c r="H10" s="2" t="inlineStr">
        <is>
          <t>West</t>
        </is>
      </c>
      <c r="I10" s="2" t="inlineStr">
        <is>
          <t>Gujarat</t>
        </is>
      </c>
      <c r="J10" s="2" t="n">
        <v>2711</v>
      </c>
      <c r="K10" s="2" t="n">
        <v>3507</v>
      </c>
      <c r="L10" s="3" t="n">
        <v>6549819376</v>
      </c>
      <c r="M10" s="3" t="n">
        <v>8472968112</v>
      </c>
      <c r="N10" s="4">
        <f>IF(J10=0,0,K10/J10)</f>
        <v/>
      </c>
      <c r="O10" s="2" t="n">
        <v>92</v>
      </c>
      <c r="P10" s="2" t="n">
        <v>292</v>
      </c>
      <c r="Q10" s="9" t="inlineStr">
        <is>
          <t>Yes</t>
        </is>
      </c>
    </row>
    <row r="11">
      <c r="A11" s="6" t="inlineStr">
        <is>
          <t>EV0010</t>
        </is>
      </c>
      <c r="B11" s="6" t="inlineStr">
        <is>
          <t>February</t>
        </is>
      </c>
      <c r="C11" s="6" t="n">
        <v>2023</v>
      </c>
      <c r="D11" s="6" t="inlineStr">
        <is>
          <t>Q1</t>
        </is>
      </c>
      <c r="E11" s="6" t="inlineStr">
        <is>
          <t>BEV</t>
        </is>
      </c>
      <c r="F11" s="6" t="inlineStr">
        <is>
          <t>3-Wheeler</t>
        </is>
      </c>
      <c r="G11" s="6" t="inlineStr">
        <is>
          <t>Tata Motors</t>
        </is>
      </c>
      <c r="H11" s="6" t="inlineStr">
        <is>
          <t>Central</t>
        </is>
      </c>
      <c r="I11" s="6" t="inlineStr">
        <is>
          <t>Chhattisgarh</t>
        </is>
      </c>
      <c r="J11" s="6" t="n">
        <v>3084</v>
      </c>
      <c r="K11" s="6" t="n">
        <v>2901</v>
      </c>
      <c r="L11" s="7" t="n">
        <v>1102884660</v>
      </c>
      <c r="M11" s="7" t="n">
        <v>1037441115</v>
      </c>
      <c r="N11" s="8">
        <f>IF(J11=0,0,K11/J11)</f>
        <v/>
      </c>
      <c r="O11" s="6" t="n">
        <v>77</v>
      </c>
      <c r="P11" s="6" t="n">
        <v>288</v>
      </c>
      <c r="Q11" s="5" t="inlineStr">
        <is>
          <t>No</t>
        </is>
      </c>
    </row>
    <row r="12">
      <c r="A12" s="2" t="inlineStr">
        <is>
          <t>EV0011</t>
        </is>
      </c>
      <c r="B12" s="2" t="inlineStr">
        <is>
          <t>March</t>
        </is>
      </c>
      <c r="C12" s="2" t="n">
        <v>2023</v>
      </c>
      <c r="D12" s="2" t="inlineStr">
        <is>
          <t>Q1</t>
        </is>
      </c>
      <c r="E12" s="2" t="inlineStr">
        <is>
          <t>BEV</t>
        </is>
      </c>
      <c r="F12" s="2" t="inlineStr">
        <is>
          <t>SUV</t>
        </is>
      </c>
      <c r="G12" s="2" t="inlineStr">
        <is>
          <t>Mahindra</t>
        </is>
      </c>
      <c r="H12" s="2" t="inlineStr">
        <is>
          <t>North</t>
        </is>
      </c>
      <c r="I12" s="2" t="inlineStr">
        <is>
          <t>Punjab</t>
        </is>
      </c>
      <c r="J12" s="2" t="n">
        <v>4258</v>
      </c>
      <c r="K12" s="2" t="n">
        <v>3345</v>
      </c>
      <c r="L12" s="3" t="n">
        <v>2834346216</v>
      </c>
      <c r="M12" s="3" t="n">
        <v>2226605940</v>
      </c>
      <c r="N12" s="4">
        <f>IF(J12=0,0,K12/J12)</f>
        <v/>
      </c>
      <c r="O12" s="2" t="n">
        <v>100</v>
      </c>
      <c r="P12" s="2" t="n">
        <v>306</v>
      </c>
      <c r="Q12" s="5" t="inlineStr">
        <is>
          <t>No</t>
        </is>
      </c>
    </row>
    <row r="13">
      <c r="A13" s="6" t="inlineStr">
        <is>
          <t>EV0012</t>
        </is>
      </c>
      <c r="B13" s="6" t="inlineStr">
        <is>
          <t>March</t>
        </is>
      </c>
      <c r="C13" s="6" t="n">
        <v>2023</v>
      </c>
      <c r="D13" s="6" t="inlineStr">
        <is>
          <t>Q1</t>
        </is>
      </c>
      <c r="E13" s="6" t="inlineStr">
        <is>
          <t>HEV</t>
        </is>
      </c>
      <c r="F13" s="6" t="inlineStr">
        <is>
          <t>Commercial</t>
        </is>
      </c>
      <c r="G13" s="6" t="inlineStr">
        <is>
          <t>Mahindra</t>
        </is>
      </c>
      <c r="H13" s="6" t="inlineStr">
        <is>
          <t>South</t>
        </is>
      </c>
      <c r="I13" s="6" t="inlineStr">
        <is>
          <t>Kerala</t>
        </is>
      </c>
      <c r="J13" s="6" t="n">
        <v>3771</v>
      </c>
      <c r="K13" s="6" t="n">
        <v>3458</v>
      </c>
      <c r="L13" s="7" t="n">
        <v>2489633055</v>
      </c>
      <c r="M13" s="7" t="n">
        <v>2282988890</v>
      </c>
      <c r="N13" s="8">
        <f>IF(J13=0,0,K13/J13)</f>
        <v/>
      </c>
      <c r="O13" s="6" t="n">
        <v>70</v>
      </c>
      <c r="P13" s="6" t="n">
        <v>0</v>
      </c>
      <c r="Q13" s="5" t="inlineStr">
        <is>
          <t>No</t>
        </is>
      </c>
    </row>
    <row r="14">
      <c r="A14" s="2" t="inlineStr">
        <is>
          <t>EV0013</t>
        </is>
      </c>
      <c r="B14" s="2" t="inlineStr">
        <is>
          <t>March</t>
        </is>
      </c>
      <c r="C14" s="2" t="n">
        <v>2023</v>
      </c>
      <c r="D14" s="2" t="inlineStr">
        <is>
          <t>Q1</t>
        </is>
      </c>
      <c r="E14" s="2" t="inlineStr">
        <is>
          <t>BEV</t>
        </is>
      </c>
      <c r="F14" s="2" t="inlineStr">
        <is>
          <t>2-Wheeler</t>
        </is>
      </c>
      <c r="G14" s="2" t="inlineStr">
        <is>
          <t>MG Motor</t>
        </is>
      </c>
      <c r="H14" s="2" t="inlineStr">
        <is>
          <t>East</t>
        </is>
      </c>
      <c r="I14" s="2" t="inlineStr">
        <is>
          <t>Jharkhand</t>
        </is>
      </c>
      <c r="J14" s="2" t="n">
        <v>1752</v>
      </c>
      <c r="K14" s="2" t="n">
        <v>1885</v>
      </c>
      <c r="L14" s="3" t="n">
        <v>3242368584</v>
      </c>
      <c r="M14" s="3" t="n">
        <v>3488507295</v>
      </c>
      <c r="N14" s="4">
        <f>IF(J14=0,0,K14/J14)</f>
        <v/>
      </c>
      <c r="O14" s="2" t="n">
        <v>54</v>
      </c>
      <c r="P14" s="2" t="n">
        <v>212</v>
      </c>
      <c r="Q14" s="9" t="inlineStr">
        <is>
          <t>Yes</t>
        </is>
      </c>
    </row>
    <row r="15">
      <c r="A15" s="6" t="inlineStr">
        <is>
          <t>EV0014</t>
        </is>
      </c>
      <c r="B15" s="6" t="inlineStr">
        <is>
          <t>March</t>
        </is>
      </c>
      <c r="C15" s="6" t="n">
        <v>2023</v>
      </c>
      <c r="D15" s="6" t="inlineStr">
        <is>
          <t>Q1</t>
        </is>
      </c>
      <c r="E15" s="6" t="inlineStr">
        <is>
          <t>HEV</t>
        </is>
      </c>
      <c r="F15" s="6" t="inlineStr">
        <is>
          <t>SUV</t>
        </is>
      </c>
      <c r="G15" s="6" t="inlineStr">
        <is>
          <t>TVS Motor</t>
        </is>
      </c>
      <c r="H15" s="6" t="inlineStr">
        <is>
          <t>West</t>
        </is>
      </c>
      <c r="I15" s="6" t="inlineStr">
        <is>
          <t>Goa</t>
        </is>
      </c>
      <c r="J15" s="6" t="n">
        <v>2559</v>
      </c>
      <c r="K15" s="6" t="n">
        <v>3282</v>
      </c>
      <c r="L15" s="7" t="n">
        <v>327946086</v>
      </c>
      <c r="M15" s="7" t="n">
        <v>420601428</v>
      </c>
      <c r="N15" s="8">
        <f>IF(J15=0,0,K15/J15)</f>
        <v/>
      </c>
      <c r="O15" s="6" t="n">
        <v>92</v>
      </c>
      <c r="P15" s="6" t="n">
        <v>0</v>
      </c>
      <c r="Q15" s="9" t="inlineStr">
        <is>
          <t>Yes</t>
        </is>
      </c>
    </row>
    <row r="16">
      <c r="A16" s="2" t="inlineStr">
        <is>
          <t>EV0015</t>
        </is>
      </c>
      <c r="B16" s="2" t="inlineStr">
        <is>
          <t>March</t>
        </is>
      </c>
      <c r="C16" s="2" t="n">
        <v>2023</v>
      </c>
      <c r="D16" s="2" t="inlineStr">
        <is>
          <t>Q1</t>
        </is>
      </c>
      <c r="E16" s="2" t="inlineStr">
        <is>
          <t>BEV</t>
        </is>
      </c>
      <c r="F16" s="2" t="inlineStr">
        <is>
          <t>Commercial</t>
        </is>
      </c>
      <c r="G16" s="2" t="inlineStr">
        <is>
          <t>Ather Energy</t>
        </is>
      </c>
      <c r="H16" s="2" t="inlineStr">
        <is>
          <t>Central</t>
        </is>
      </c>
      <c r="I16" s="2" t="inlineStr">
        <is>
          <t>Uttarakhand</t>
        </is>
      </c>
      <c r="J16" s="2" t="n">
        <v>3286</v>
      </c>
      <c r="K16" s="2" t="n">
        <v>2520</v>
      </c>
      <c r="L16" s="3" t="n">
        <v>6255022582</v>
      </c>
      <c r="M16" s="3" t="n">
        <v>4796913240</v>
      </c>
      <c r="N16" s="4">
        <f>IF(J16=0,0,K16/J16)</f>
        <v/>
      </c>
      <c r="O16" s="2" t="n">
        <v>63</v>
      </c>
      <c r="P16" s="2" t="n">
        <v>260</v>
      </c>
      <c r="Q16" s="5" t="inlineStr">
        <is>
          <t>No</t>
        </is>
      </c>
    </row>
    <row r="17">
      <c r="A17" s="6" t="inlineStr">
        <is>
          <t>EV0016</t>
        </is>
      </c>
      <c r="B17" s="6" t="inlineStr">
        <is>
          <t>April</t>
        </is>
      </c>
      <c r="C17" s="6" t="n">
        <v>2023</v>
      </c>
      <c r="D17" s="6" t="inlineStr">
        <is>
          <t>Q2</t>
        </is>
      </c>
      <c r="E17" s="6" t="inlineStr">
        <is>
          <t>HEV</t>
        </is>
      </c>
      <c r="F17" s="6" t="inlineStr">
        <is>
          <t>Passenger Car</t>
        </is>
      </c>
      <c r="G17" s="6" t="inlineStr">
        <is>
          <t>TVS Motor</t>
        </is>
      </c>
      <c r="H17" s="6" t="inlineStr">
        <is>
          <t>North</t>
        </is>
      </c>
      <c r="I17" s="6" t="inlineStr">
        <is>
          <t>Delhi</t>
        </is>
      </c>
      <c r="J17" s="6" t="n">
        <v>1963</v>
      </c>
      <c r="K17" s="6" t="n">
        <v>1972</v>
      </c>
      <c r="L17" s="7" t="n">
        <v>1033164197</v>
      </c>
      <c r="M17" s="7" t="n">
        <v>1037901068</v>
      </c>
      <c r="N17" s="8">
        <f>IF(J17=0,0,K17/J17)</f>
        <v/>
      </c>
      <c r="O17" s="6" t="n">
        <v>116</v>
      </c>
      <c r="P17" s="6" t="n">
        <v>0</v>
      </c>
      <c r="Q17" s="9" t="inlineStr">
        <is>
          <t>Yes</t>
        </is>
      </c>
    </row>
    <row r="18">
      <c r="A18" s="2" t="inlineStr">
        <is>
          <t>EV0017</t>
        </is>
      </c>
      <c r="B18" s="2" t="inlineStr">
        <is>
          <t>April</t>
        </is>
      </c>
      <c r="C18" s="2" t="n">
        <v>2023</v>
      </c>
      <c r="D18" s="2" t="inlineStr">
        <is>
          <t>Q2</t>
        </is>
      </c>
      <c r="E18" s="2" t="inlineStr">
        <is>
          <t>HEV</t>
        </is>
      </c>
      <c r="F18" s="2" t="inlineStr">
        <is>
          <t>Commercial</t>
        </is>
      </c>
      <c r="G18" s="2" t="inlineStr">
        <is>
          <t>Bajaj</t>
        </is>
      </c>
      <c r="H18" s="2" t="inlineStr">
        <is>
          <t>South</t>
        </is>
      </c>
      <c r="I18" s="2" t="inlineStr">
        <is>
          <t>Kerala</t>
        </is>
      </c>
      <c r="J18" s="2" t="n">
        <v>2129</v>
      </c>
      <c r="K18" s="2" t="n">
        <v>1685</v>
      </c>
      <c r="L18" s="3" t="n">
        <v>1612898465</v>
      </c>
      <c r="M18" s="3" t="n">
        <v>1276530725</v>
      </c>
      <c r="N18" s="4">
        <f>IF(J18=0,0,K18/J18)</f>
        <v/>
      </c>
      <c r="O18" s="2" t="n">
        <v>74</v>
      </c>
      <c r="P18" s="2" t="n">
        <v>0</v>
      </c>
      <c r="Q18" s="5" t="inlineStr">
        <is>
          <t>No</t>
        </is>
      </c>
    </row>
    <row r="19">
      <c r="A19" s="6" t="inlineStr">
        <is>
          <t>EV0018</t>
        </is>
      </c>
      <c r="B19" s="6" t="inlineStr">
        <is>
          <t>April</t>
        </is>
      </c>
      <c r="C19" s="6" t="n">
        <v>2023</v>
      </c>
      <c r="D19" s="6" t="inlineStr">
        <is>
          <t>Q2</t>
        </is>
      </c>
      <c r="E19" s="6" t="inlineStr">
        <is>
          <t>HEV</t>
        </is>
      </c>
      <c r="F19" s="6" t="inlineStr">
        <is>
          <t>Passenger Car</t>
        </is>
      </c>
      <c r="G19" s="6" t="inlineStr">
        <is>
          <t>Revolt Motors</t>
        </is>
      </c>
      <c r="H19" s="6" t="inlineStr">
        <is>
          <t>East</t>
        </is>
      </c>
      <c r="I19" s="6" t="inlineStr">
        <is>
          <t>West Bengal</t>
        </is>
      </c>
      <c r="J19" s="6" t="n">
        <v>659</v>
      </c>
      <c r="K19" s="6" t="n">
        <v>505</v>
      </c>
      <c r="L19" s="7" t="n">
        <v>1056015209</v>
      </c>
      <c r="M19" s="7" t="n">
        <v>809237755</v>
      </c>
      <c r="N19" s="8">
        <f>IF(J19=0,0,K19/J19)</f>
        <v/>
      </c>
      <c r="O19" s="6" t="n">
        <v>117</v>
      </c>
      <c r="P19" s="6" t="n">
        <v>0</v>
      </c>
      <c r="Q19" s="5" t="inlineStr">
        <is>
          <t>No</t>
        </is>
      </c>
    </row>
    <row r="20">
      <c r="A20" s="2" t="inlineStr">
        <is>
          <t>EV0019</t>
        </is>
      </c>
      <c r="B20" s="2" t="inlineStr">
        <is>
          <t>April</t>
        </is>
      </c>
      <c r="C20" s="2" t="n">
        <v>2023</v>
      </c>
      <c r="D20" s="2" t="inlineStr">
        <is>
          <t>Q2</t>
        </is>
      </c>
      <c r="E20" s="2" t="inlineStr">
        <is>
          <t>BEV</t>
        </is>
      </c>
      <c r="F20" s="2" t="inlineStr">
        <is>
          <t>2-Wheeler</t>
        </is>
      </c>
      <c r="G20" s="2" t="inlineStr">
        <is>
          <t>Ola Electric</t>
        </is>
      </c>
      <c r="H20" s="2" t="inlineStr">
        <is>
          <t>West</t>
        </is>
      </c>
      <c r="I20" s="2" t="inlineStr">
        <is>
          <t>Rajasthan</t>
        </is>
      </c>
      <c r="J20" s="2" t="n">
        <v>1145</v>
      </c>
      <c r="K20" s="2" t="n">
        <v>860</v>
      </c>
      <c r="L20" s="3" t="n">
        <v>2425557695</v>
      </c>
      <c r="M20" s="3" t="n">
        <v>1821816260</v>
      </c>
      <c r="N20" s="4">
        <f>IF(J20=0,0,K20/J20)</f>
        <v/>
      </c>
      <c r="O20" s="2" t="n">
        <v>102</v>
      </c>
      <c r="P20" s="2" t="n">
        <v>215</v>
      </c>
      <c r="Q20" s="5" t="inlineStr">
        <is>
          <t>No</t>
        </is>
      </c>
    </row>
    <row r="21">
      <c r="A21" s="6" t="inlineStr">
        <is>
          <t>EV0020</t>
        </is>
      </c>
      <c r="B21" s="6" t="inlineStr">
        <is>
          <t>April</t>
        </is>
      </c>
      <c r="C21" s="6" t="n">
        <v>2023</v>
      </c>
      <c r="D21" s="6" t="inlineStr">
        <is>
          <t>Q2</t>
        </is>
      </c>
      <c r="E21" s="6" t="inlineStr">
        <is>
          <t>BEV</t>
        </is>
      </c>
      <c r="F21" s="6" t="inlineStr">
        <is>
          <t>3-Wheeler</t>
        </is>
      </c>
      <c r="G21" s="6" t="inlineStr">
        <is>
          <t>Revolt Motors</t>
        </is>
      </c>
      <c r="H21" s="6" t="inlineStr">
        <is>
          <t>Central</t>
        </is>
      </c>
      <c r="I21" s="6" t="inlineStr">
        <is>
          <t>Uttarakhand</t>
        </is>
      </c>
      <c r="J21" s="6" t="n">
        <v>1852</v>
      </c>
      <c r="K21" s="6" t="n">
        <v>1590</v>
      </c>
      <c r="L21" s="7" t="n">
        <v>3435032188</v>
      </c>
      <c r="M21" s="7" t="n">
        <v>2949082710</v>
      </c>
      <c r="N21" s="8">
        <f>IF(J21=0,0,K21/J21)</f>
        <v/>
      </c>
      <c r="O21" s="6" t="n">
        <v>74</v>
      </c>
      <c r="P21" s="6" t="n">
        <v>288</v>
      </c>
      <c r="Q21" s="5" t="inlineStr">
        <is>
          <t>No</t>
        </is>
      </c>
    </row>
    <row r="22">
      <c r="A22" s="2" t="inlineStr">
        <is>
          <t>EV0021</t>
        </is>
      </c>
      <c r="B22" s="2" t="inlineStr">
        <is>
          <t>May</t>
        </is>
      </c>
      <c r="C22" s="2" t="n">
        <v>2023</v>
      </c>
      <c r="D22" s="2" t="inlineStr">
        <is>
          <t>Q2</t>
        </is>
      </c>
      <c r="E22" s="2" t="inlineStr">
        <is>
          <t>HEV</t>
        </is>
      </c>
      <c r="F22" s="2" t="inlineStr">
        <is>
          <t>Passenger Car</t>
        </is>
      </c>
      <c r="G22" s="2" t="inlineStr">
        <is>
          <t>Mahindra</t>
        </is>
      </c>
      <c r="H22" s="2" t="inlineStr">
        <is>
          <t>North</t>
        </is>
      </c>
      <c r="I22" s="2" t="inlineStr">
        <is>
          <t>Haryana</t>
        </is>
      </c>
      <c r="J22" s="2" t="n">
        <v>3559</v>
      </c>
      <c r="K22" s="2" t="n">
        <v>3426</v>
      </c>
      <c r="L22" s="3" t="n">
        <v>8010846330</v>
      </c>
      <c r="M22" s="3" t="n">
        <v>7711480620</v>
      </c>
      <c r="N22" s="4">
        <f>IF(J22=0,0,K22/J22)</f>
        <v/>
      </c>
      <c r="O22" s="2" t="n">
        <v>62</v>
      </c>
      <c r="P22" s="2" t="n">
        <v>0</v>
      </c>
      <c r="Q22" s="5" t="inlineStr">
        <is>
          <t>No</t>
        </is>
      </c>
    </row>
    <row r="23">
      <c r="A23" s="6" t="inlineStr">
        <is>
          <t>EV0022</t>
        </is>
      </c>
      <c r="B23" s="6" t="inlineStr">
        <is>
          <t>May</t>
        </is>
      </c>
      <c r="C23" s="6" t="n">
        <v>2023</v>
      </c>
      <c r="D23" s="6" t="inlineStr">
        <is>
          <t>Q2</t>
        </is>
      </c>
      <c r="E23" s="6" t="inlineStr">
        <is>
          <t>BEV</t>
        </is>
      </c>
      <c r="F23" s="6" t="inlineStr">
        <is>
          <t>3-Wheeler</t>
        </is>
      </c>
      <c r="G23" s="6" t="inlineStr">
        <is>
          <t>MG Motor</t>
        </is>
      </c>
      <c r="H23" s="6" t="inlineStr">
        <is>
          <t>South</t>
        </is>
      </c>
      <c r="I23" s="6" t="inlineStr">
        <is>
          <t>Tamil Nadu</t>
        </is>
      </c>
      <c r="J23" s="6" t="n">
        <v>3269</v>
      </c>
      <c r="K23" s="6" t="n">
        <v>2329</v>
      </c>
      <c r="L23" s="7" t="n">
        <v>7856436735</v>
      </c>
      <c r="M23" s="7" t="n">
        <v>5597320635</v>
      </c>
      <c r="N23" s="8">
        <f>IF(J23=0,0,K23/J23)</f>
        <v/>
      </c>
      <c r="O23" s="6" t="n">
        <v>80</v>
      </c>
      <c r="P23" s="6" t="n">
        <v>297</v>
      </c>
      <c r="Q23" s="5" t="inlineStr">
        <is>
          <t>No</t>
        </is>
      </c>
    </row>
    <row r="24">
      <c r="A24" s="2" t="inlineStr">
        <is>
          <t>EV0023</t>
        </is>
      </c>
      <c r="B24" s="2" t="inlineStr">
        <is>
          <t>May</t>
        </is>
      </c>
      <c r="C24" s="2" t="n">
        <v>2023</v>
      </c>
      <c r="D24" s="2" t="inlineStr">
        <is>
          <t>Q2</t>
        </is>
      </c>
      <c r="E24" s="2" t="inlineStr">
        <is>
          <t>BEV</t>
        </is>
      </c>
      <c r="F24" s="2" t="inlineStr">
        <is>
          <t>2-Wheeler</t>
        </is>
      </c>
      <c r="G24" s="2" t="inlineStr">
        <is>
          <t>Tata Motors</t>
        </is>
      </c>
      <c r="H24" s="2" t="inlineStr">
        <is>
          <t>East</t>
        </is>
      </c>
      <c r="I24" s="2" t="inlineStr">
        <is>
          <t>Odisha</t>
        </is>
      </c>
      <c r="J24" s="2" t="n">
        <v>2375</v>
      </c>
      <c r="K24" s="2" t="n">
        <v>1758</v>
      </c>
      <c r="L24" s="3" t="n">
        <v>502918125</v>
      </c>
      <c r="M24" s="3" t="n">
        <v>372265290</v>
      </c>
      <c r="N24" s="4">
        <f>IF(J24=0,0,K24/J24)</f>
        <v/>
      </c>
      <c r="O24" s="2" t="n">
        <v>14</v>
      </c>
      <c r="P24" s="2" t="n">
        <v>349</v>
      </c>
      <c r="Q24" s="5" t="inlineStr">
        <is>
          <t>No</t>
        </is>
      </c>
    </row>
    <row r="25">
      <c r="A25" s="6" t="inlineStr">
        <is>
          <t>EV0024</t>
        </is>
      </c>
      <c r="B25" s="6" t="inlineStr">
        <is>
          <t>May</t>
        </is>
      </c>
      <c r="C25" s="6" t="n">
        <v>2023</v>
      </c>
      <c r="D25" s="6" t="inlineStr">
        <is>
          <t>Q2</t>
        </is>
      </c>
      <c r="E25" s="6" t="inlineStr">
        <is>
          <t>PHEV</t>
        </is>
      </c>
      <c r="F25" s="6" t="inlineStr">
        <is>
          <t>SUV</t>
        </is>
      </c>
      <c r="G25" s="6" t="inlineStr">
        <is>
          <t>Ola Electric</t>
        </is>
      </c>
      <c r="H25" s="6" t="inlineStr">
        <is>
          <t>West</t>
        </is>
      </c>
      <c r="I25" s="6" t="inlineStr">
        <is>
          <t>Gujarat</t>
        </is>
      </c>
      <c r="J25" s="6" t="n">
        <v>4917</v>
      </c>
      <c r="K25" s="6" t="n">
        <v>3832</v>
      </c>
      <c r="L25" s="7" t="n">
        <v>12170204376</v>
      </c>
      <c r="M25" s="7" t="n">
        <v>9484690496</v>
      </c>
      <c r="N25" s="8">
        <f>IF(J25=0,0,K25/J25)</f>
        <v/>
      </c>
      <c r="O25" s="6" t="n">
        <v>65</v>
      </c>
      <c r="P25" s="6" t="n">
        <v>86</v>
      </c>
      <c r="Q25" s="5" t="inlineStr">
        <is>
          <t>No</t>
        </is>
      </c>
    </row>
    <row r="26">
      <c r="A26" s="2" t="inlineStr">
        <is>
          <t>EV0025</t>
        </is>
      </c>
      <c r="B26" s="2" t="inlineStr">
        <is>
          <t>May</t>
        </is>
      </c>
      <c r="C26" s="2" t="n">
        <v>2023</v>
      </c>
      <c r="D26" s="2" t="inlineStr">
        <is>
          <t>Q2</t>
        </is>
      </c>
      <c r="E26" s="2" t="inlineStr">
        <is>
          <t>PHEV</t>
        </is>
      </c>
      <c r="F26" s="2" t="inlineStr">
        <is>
          <t>SUV</t>
        </is>
      </c>
      <c r="G26" s="2" t="inlineStr">
        <is>
          <t>Ola Electric</t>
        </is>
      </c>
      <c r="H26" s="2" t="inlineStr">
        <is>
          <t>Central</t>
        </is>
      </c>
      <c r="I26" s="2" t="inlineStr">
        <is>
          <t>Madhya Pradesh</t>
        </is>
      </c>
      <c r="J26" s="2" t="n">
        <v>1272</v>
      </c>
      <c r="K26" s="2" t="n">
        <v>964</v>
      </c>
      <c r="L26" s="3" t="n">
        <v>2401483848</v>
      </c>
      <c r="M26" s="3" t="n">
        <v>1819992476</v>
      </c>
      <c r="N26" s="4">
        <f>IF(J26=0,0,K26/J26)</f>
        <v/>
      </c>
      <c r="O26" s="2" t="n">
        <v>59</v>
      </c>
      <c r="P26" s="2" t="n">
        <v>72</v>
      </c>
      <c r="Q26" s="5" t="inlineStr">
        <is>
          <t>No</t>
        </is>
      </c>
    </row>
    <row r="27">
      <c r="A27" s="6" t="inlineStr">
        <is>
          <t>EV0026</t>
        </is>
      </c>
      <c r="B27" s="6" t="inlineStr">
        <is>
          <t>June</t>
        </is>
      </c>
      <c r="C27" s="6" t="n">
        <v>2023</v>
      </c>
      <c r="D27" s="6" t="inlineStr">
        <is>
          <t>Q2</t>
        </is>
      </c>
      <c r="E27" s="6" t="inlineStr">
        <is>
          <t>PHEV</t>
        </is>
      </c>
      <c r="F27" s="6" t="inlineStr">
        <is>
          <t>2-Wheeler</t>
        </is>
      </c>
      <c r="G27" s="6" t="inlineStr">
        <is>
          <t>MG Motor</t>
        </is>
      </c>
      <c r="H27" s="6" t="inlineStr">
        <is>
          <t>North</t>
        </is>
      </c>
      <c r="I27" s="6" t="inlineStr">
        <is>
          <t>Uttar Pradesh</t>
        </is>
      </c>
      <c r="J27" s="6" t="n">
        <v>996</v>
      </c>
      <c r="K27" s="6" t="n">
        <v>937</v>
      </c>
      <c r="L27" s="7" t="n">
        <v>1497125448</v>
      </c>
      <c r="M27" s="7" t="n">
        <v>1408440306</v>
      </c>
      <c r="N27" s="8">
        <f>IF(J27=0,0,K27/J27)</f>
        <v/>
      </c>
      <c r="O27" s="6" t="n">
        <v>36</v>
      </c>
      <c r="P27" s="6" t="n">
        <v>56</v>
      </c>
      <c r="Q27" s="5" t="inlineStr">
        <is>
          <t>No</t>
        </is>
      </c>
    </row>
    <row r="28">
      <c r="A28" s="2" t="inlineStr">
        <is>
          <t>EV0027</t>
        </is>
      </c>
      <c r="B28" s="2" t="inlineStr">
        <is>
          <t>June</t>
        </is>
      </c>
      <c r="C28" s="2" t="n">
        <v>2023</v>
      </c>
      <c r="D28" s="2" t="inlineStr">
        <is>
          <t>Q2</t>
        </is>
      </c>
      <c r="E28" s="2" t="inlineStr">
        <is>
          <t>BEV</t>
        </is>
      </c>
      <c r="F28" s="2" t="inlineStr">
        <is>
          <t>Commercial</t>
        </is>
      </c>
      <c r="G28" s="2" t="inlineStr">
        <is>
          <t>Revolt Motors</t>
        </is>
      </c>
      <c r="H28" s="2" t="inlineStr">
        <is>
          <t>South</t>
        </is>
      </c>
      <c r="I28" s="2" t="inlineStr">
        <is>
          <t>Karnataka</t>
        </is>
      </c>
      <c r="J28" s="2" t="n">
        <v>1648</v>
      </c>
      <c r="K28" s="2" t="n">
        <v>1570</v>
      </c>
      <c r="L28" s="3" t="n">
        <v>2057203344</v>
      </c>
      <c r="M28" s="3" t="n">
        <v>1959835710</v>
      </c>
      <c r="N28" s="4">
        <f>IF(J28=0,0,K28/J28)</f>
        <v/>
      </c>
      <c r="O28" s="2" t="n">
        <v>36</v>
      </c>
      <c r="P28" s="2" t="n">
        <v>416</v>
      </c>
      <c r="Q28" s="5" t="inlineStr">
        <is>
          <t>No</t>
        </is>
      </c>
    </row>
    <row r="29">
      <c r="A29" s="6" t="inlineStr">
        <is>
          <t>EV0028</t>
        </is>
      </c>
      <c r="B29" s="6" t="inlineStr">
        <is>
          <t>June</t>
        </is>
      </c>
      <c r="C29" s="6" t="n">
        <v>2023</v>
      </c>
      <c r="D29" s="6" t="inlineStr">
        <is>
          <t>Q2</t>
        </is>
      </c>
      <c r="E29" s="6" t="inlineStr">
        <is>
          <t>PHEV</t>
        </is>
      </c>
      <c r="F29" s="6" t="inlineStr">
        <is>
          <t>Commercial</t>
        </is>
      </c>
      <c r="G29" s="6" t="inlineStr">
        <is>
          <t>MG Motor</t>
        </is>
      </c>
      <c r="H29" s="6" t="inlineStr">
        <is>
          <t>East</t>
        </is>
      </c>
      <c r="I29" s="6" t="inlineStr">
        <is>
          <t>West Bengal</t>
        </is>
      </c>
      <c r="J29" s="6" t="n">
        <v>914</v>
      </c>
      <c r="K29" s="6" t="n">
        <v>997</v>
      </c>
      <c r="L29" s="7" t="n">
        <v>2145514460</v>
      </c>
      <c r="M29" s="7" t="n">
        <v>2340347830</v>
      </c>
      <c r="N29" s="8">
        <f>IF(J29=0,0,K29/J29)</f>
        <v/>
      </c>
      <c r="O29" s="6" t="n">
        <v>16</v>
      </c>
      <c r="P29" s="6" t="n">
        <v>50</v>
      </c>
      <c r="Q29" s="9" t="inlineStr">
        <is>
          <t>Yes</t>
        </is>
      </c>
    </row>
    <row r="30">
      <c r="A30" s="2" t="inlineStr">
        <is>
          <t>EV0029</t>
        </is>
      </c>
      <c r="B30" s="2" t="inlineStr">
        <is>
          <t>June</t>
        </is>
      </c>
      <c r="C30" s="2" t="n">
        <v>2023</v>
      </c>
      <c r="D30" s="2" t="inlineStr">
        <is>
          <t>Q2</t>
        </is>
      </c>
      <c r="E30" s="2" t="inlineStr">
        <is>
          <t>BEV</t>
        </is>
      </c>
      <c r="F30" s="2" t="inlineStr">
        <is>
          <t>SUV</t>
        </is>
      </c>
      <c r="G30" s="2" t="inlineStr">
        <is>
          <t>Revolt Motors</t>
        </is>
      </c>
      <c r="H30" s="2" t="inlineStr">
        <is>
          <t>West</t>
        </is>
      </c>
      <c r="I30" s="2" t="inlineStr">
        <is>
          <t>Gujarat</t>
        </is>
      </c>
      <c r="J30" s="2" t="n">
        <v>4443</v>
      </c>
      <c r="K30" s="2" t="n">
        <v>3679</v>
      </c>
      <c r="L30" s="3" t="n">
        <v>7828939212</v>
      </c>
      <c r="M30" s="3" t="n">
        <v>6482707036</v>
      </c>
      <c r="N30" s="4">
        <f>IF(J30=0,0,K30/J30)</f>
        <v/>
      </c>
      <c r="O30" s="2" t="n">
        <v>26</v>
      </c>
      <c r="P30" s="2" t="n">
        <v>210</v>
      </c>
      <c r="Q30" s="5" t="inlineStr">
        <is>
          <t>No</t>
        </is>
      </c>
    </row>
    <row r="31">
      <c r="A31" s="6" t="inlineStr">
        <is>
          <t>EV0030</t>
        </is>
      </c>
      <c r="B31" s="6" t="inlineStr">
        <is>
          <t>June</t>
        </is>
      </c>
      <c r="C31" s="6" t="n">
        <v>2023</v>
      </c>
      <c r="D31" s="6" t="inlineStr">
        <is>
          <t>Q2</t>
        </is>
      </c>
      <c r="E31" s="6" t="inlineStr">
        <is>
          <t>BEV</t>
        </is>
      </c>
      <c r="F31" s="6" t="inlineStr">
        <is>
          <t>SUV</t>
        </is>
      </c>
      <c r="G31" s="6" t="inlineStr">
        <is>
          <t>Ather Energy</t>
        </is>
      </c>
      <c r="H31" s="6" t="inlineStr">
        <is>
          <t>Central</t>
        </is>
      </c>
      <c r="I31" s="6" t="inlineStr">
        <is>
          <t>Chhattisgarh</t>
        </is>
      </c>
      <c r="J31" s="6" t="n">
        <v>4227</v>
      </c>
      <c r="K31" s="6" t="n">
        <v>3682</v>
      </c>
      <c r="L31" s="7" t="n">
        <v>10191554847</v>
      </c>
      <c r="M31" s="7" t="n">
        <v>8877526602</v>
      </c>
      <c r="N31" s="8">
        <f>IF(J31=0,0,K31/J31)</f>
        <v/>
      </c>
      <c r="O31" s="6" t="n">
        <v>24</v>
      </c>
      <c r="P31" s="6" t="n">
        <v>429</v>
      </c>
      <c r="Q31" s="5" t="inlineStr">
        <is>
          <t>No</t>
        </is>
      </c>
    </row>
    <row r="32">
      <c r="A32" s="2" t="inlineStr">
        <is>
          <t>EV0031</t>
        </is>
      </c>
      <c r="B32" s="2" t="inlineStr">
        <is>
          <t>July</t>
        </is>
      </c>
      <c r="C32" s="2" t="n">
        <v>2023</v>
      </c>
      <c r="D32" s="2" t="inlineStr">
        <is>
          <t>Q3</t>
        </is>
      </c>
      <c r="E32" s="2" t="inlineStr">
        <is>
          <t>PHEV</t>
        </is>
      </c>
      <c r="F32" s="2" t="inlineStr">
        <is>
          <t>3-Wheeler</t>
        </is>
      </c>
      <c r="G32" s="2" t="inlineStr">
        <is>
          <t>Tata Motors</t>
        </is>
      </c>
      <c r="H32" s="2" t="inlineStr">
        <is>
          <t>North</t>
        </is>
      </c>
      <c r="I32" s="2" t="inlineStr">
        <is>
          <t>Haryana</t>
        </is>
      </c>
      <c r="J32" s="2" t="n">
        <v>4941</v>
      </c>
      <c r="K32" s="2" t="n">
        <v>3639</v>
      </c>
      <c r="L32" s="3" t="n">
        <v>6894439173</v>
      </c>
      <c r="M32" s="3" t="n">
        <v>5077689567</v>
      </c>
      <c r="N32" s="4">
        <f>IF(J32=0,0,K32/J32)</f>
        <v/>
      </c>
      <c r="O32" s="2" t="n">
        <v>11</v>
      </c>
      <c r="P32" s="2" t="n">
        <v>53</v>
      </c>
      <c r="Q32" s="5" t="inlineStr">
        <is>
          <t>No</t>
        </is>
      </c>
    </row>
    <row r="33">
      <c r="A33" s="6" t="inlineStr">
        <is>
          <t>EV0032</t>
        </is>
      </c>
      <c r="B33" s="6" t="inlineStr">
        <is>
          <t>July</t>
        </is>
      </c>
      <c r="C33" s="6" t="n">
        <v>2023</v>
      </c>
      <c r="D33" s="6" t="inlineStr">
        <is>
          <t>Q3</t>
        </is>
      </c>
      <c r="E33" s="6" t="inlineStr">
        <is>
          <t>HEV</t>
        </is>
      </c>
      <c r="F33" s="6" t="inlineStr">
        <is>
          <t>Commercial</t>
        </is>
      </c>
      <c r="G33" s="6" t="inlineStr">
        <is>
          <t>Hyundai</t>
        </is>
      </c>
      <c r="H33" s="6" t="inlineStr">
        <is>
          <t>South</t>
        </is>
      </c>
      <c r="I33" s="6" t="inlineStr">
        <is>
          <t>Telangana</t>
        </is>
      </c>
      <c r="J33" s="6" t="n">
        <v>965</v>
      </c>
      <c r="K33" s="6" t="n">
        <v>1231</v>
      </c>
      <c r="L33" s="7" t="n">
        <v>401450615</v>
      </c>
      <c r="M33" s="7" t="n">
        <v>512109541</v>
      </c>
      <c r="N33" s="8">
        <f>IF(J33=0,0,K33/J33)</f>
        <v/>
      </c>
      <c r="O33" s="6" t="n">
        <v>113</v>
      </c>
      <c r="P33" s="6" t="n">
        <v>0</v>
      </c>
      <c r="Q33" s="9" t="inlineStr">
        <is>
          <t>Yes</t>
        </is>
      </c>
    </row>
    <row r="34">
      <c r="A34" s="2" t="inlineStr">
        <is>
          <t>EV0033</t>
        </is>
      </c>
      <c r="B34" s="2" t="inlineStr">
        <is>
          <t>July</t>
        </is>
      </c>
      <c r="C34" s="2" t="n">
        <v>2023</v>
      </c>
      <c r="D34" s="2" t="inlineStr">
        <is>
          <t>Q3</t>
        </is>
      </c>
      <c r="E34" s="2" t="inlineStr">
        <is>
          <t>BEV</t>
        </is>
      </c>
      <c r="F34" s="2" t="inlineStr">
        <is>
          <t>Commercial</t>
        </is>
      </c>
      <c r="G34" s="2" t="inlineStr">
        <is>
          <t>MG Motor</t>
        </is>
      </c>
      <c r="H34" s="2" t="inlineStr">
        <is>
          <t>East</t>
        </is>
      </c>
      <c r="I34" s="2" t="inlineStr">
        <is>
          <t>Odisha</t>
        </is>
      </c>
      <c r="J34" s="2" t="n">
        <v>2426</v>
      </c>
      <c r="K34" s="2" t="n">
        <v>2285</v>
      </c>
      <c r="L34" s="3" t="n">
        <v>5990742566</v>
      </c>
      <c r="M34" s="3" t="n">
        <v>5642558435</v>
      </c>
      <c r="N34" s="4">
        <f>IF(J34=0,0,K34/J34)</f>
        <v/>
      </c>
      <c r="O34" s="2" t="n">
        <v>79</v>
      </c>
      <c r="P34" s="2" t="n">
        <v>306</v>
      </c>
      <c r="Q34" s="5" t="inlineStr">
        <is>
          <t>No</t>
        </is>
      </c>
    </row>
    <row r="35">
      <c r="A35" s="6" t="inlineStr">
        <is>
          <t>EV0034</t>
        </is>
      </c>
      <c r="B35" s="6" t="inlineStr">
        <is>
          <t>July</t>
        </is>
      </c>
      <c r="C35" s="6" t="n">
        <v>2023</v>
      </c>
      <c r="D35" s="6" t="inlineStr">
        <is>
          <t>Q3</t>
        </is>
      </c>
      <c r="E35" s="6" t="inlineStr">
        <is>
          <t>HEV</t>
        </is>
      </c>
      <c r="F35" s="6" t="inlineStr">
        <is>
          <t>2-Wheeler</t>
        </is>
      </c>
      <c r="G35" s="6" t="inlineStr">
        <is>
          <t>Mahindra</t>
        </is>
      </c>
      <c r="H35" s="6" t="inlineStr">
        <is>
          <t>West</t>
        </is>
      </c>
      <c r="I35" s="6" t="inlineStr">
        <is>
          <t>Maharashtra</t>
        </is>
      </c>
      <c r="J35" s="6" t="n">
        <v>4782</v>
      </c>
      <c r="K35" s="6" t="n">
        <v>4255</v>
      </c>
      <c r="L35" s="7" t="n">
        <v>5612776860</v>
      </c>
      <c r="M35" s="7" t="n">
        <v>4994221150</v>
      </c>
      <c r="N35" s="8">
        <f>IF(J35=0,0,K35/J35)</f>
        <v/>
      </c>
      <c r="O35" s="6" t="n">
        <v>31</v>
      </c>
      <c r="P35" s="6" t="n">
        <v>0</v>
      </c>
      <c r="Q35" s="5" t="inlineStr">
        <is>
          <t>No</t>
        </is>
      </c>
    </row>
    <row r="36">
      <c r="A36" s="2" t="inlineStr">
        <is>
          <t>EV0035</t>
        </is>
      </c>
      <c r="B36" s="2" t="inlineStr">
        <is>
          <t>July</t>
        </is>
      </c>
      <c r="C36" s="2" t="n">
        <v>2023</v>
      </c>
      <c r="D36" s="2" t="inlineStr">
        <is>
          <t>Q3</t>
        </is>
      </c>
      <c r="E36" s="2" t="inlineStr">
        <is>
          <t>HEV</t>
        </is>
      </c>
      <c r="F36" s="2" t="inlineStr">
        <is>
          <t>Passenger Car</t>
        </is>
      </c>
      <c r="G36" s="2" t="inlineStr">
        <is>
          <t>Ola Electric</t>
        </is>
      </c>
      <c r="H36" s="2" t="inlineStr">
        <is>
          <t>Central</t>
        </is>
      </c>
      <c r="I36" s="2" t="inlineStr">
        <is>
          <t>Uttarakhand</t>
        </is>
      </c>
      <c r="J36" s="2" t="n">
        <v>2675</v>
      </c>
      <c r="K36" s="2" t="n">
        <v>2507</v>
      </c>
      <c r="L36" s="3" t="n">
        <v>3579893650</v>
      </c>
      <c r="M36" s="3" t="n">
        <v>3355062946</v>
      </c>
      <c r="N36" s="4">
        <f>IF(J36=0,0,K36/J36)</f>
        <v/>
      </c>
      <c r="O36" s="2" t="n">
        <v>63</v>
      </c>
      <c r="P36" s="2" t="n">
        <v>0</v>
      </c>
      <c r="Q36" s="5" t="inlineStr">
        <is>
          <t>No</t>
        </is>
      </c>
    </row>
    <row r="37">
      <c r="A37" s="6" t="inlineStr">
        <is>
          <t>EV0036</t>
        </is>
      </c>
      <c r="B37" s="6" t="inlineStr">
        <is>
          <t>August</t>
        </is>
      </c>
      <c r="C37" s="6" t="n">
        <v>2023</v>
      </c>
      <c r="D37" s="6" t="inlineStr">
        <is>
          <t>Q3</t>
        </is>
      </c>
      <c r="E37" s="6" t="inlineStr">
        <is>
          <t>BEV</t>
        </is>
      </c>
      <c r="F37" s="6" t="inlineStr">
        <is>
          <t>2-Wheeler</t>
        </is>
      </c>
      <c r="G37" s="6" t="inlineStr">
        <is>
          <t>Revolt Motors</t>
        </is>
      </c>
      <c r="H37" s="6" t="inlineStr">
        <is>
          <t>North</t>
        </is>
      </c>
      <c r="I37" s="6" t="inlineStr">
        <is>
          <t>Punjab</t>
        </is>
      </c>
      <c r="J37" s="6" t="n">
        <v>1319</v>
      </c>
      <c r="K37" s="6" t="n">
        <v>981</v>
      </c>
      <c r="L37" s="7" t="n">
        <v>1284749527</v>
      </c>
      <c r="M37" s="7" t="n">
        <v>955526373</v>
      </c>
      <c r="N37" s="8">
        <f>IF(J37=0,0,K37/J37)</f>
        <v/>
      </c>
      <c r="O37" s="6" t="n">
        <v>38</v>
      </c>
      <c r="P37" s="6" t="n">
        <v>439</v>
      </c>
      <c r="Q37" s="5" t="inlineStr">
        <is>
          <t>No</t>
        </is>
      </c>
    </row>
    <row r="38">
      <c r="A38" s="2" t="inlineStr">
        <is>
          <t>EV0037</t>
        </is>
      </c>
      <c r="B38" s="2" t="inlineStr">
        <is>
          <t>August</t>
        </is>
      </c>
      <c r="C38" s="2" t="n">
        <v>2023</v>
      </c>
      <c r="D38" s="2" t="inlineStr">
        <is>
          <t>Q3</t>
        </is>
      </c>
      <c r="E38" s="2" t="inlineStr">
        <is>
          <t>PHEV</t>
        </is>
      </c>
      <c r="F38" s="2" t="inlineStr">
        <is>
          <t>2-Wheeler</t>
        </is>
      </c>
      <c r="G38" s="2" t="inlineStr">
        <is>
          <t>Ola Electric</t>
        </is>
      </c>
      <c r="H38" s="2" t="inlineStr">
        <is>
          <t>South</t>
        </is>
      </c>
      <c r="I38" s="2" t="inlineStr">
        <is>
          <t>Karnataka</t>
        </is>
      </c>
      <c r="J38" s="2" t="n">
        <v>3527</v>
      </c>
      <c r="K38" s="2" t="n">
        <v>3071</v>
      </c>
      <c r="L38" s="3" t="n">
        <v>6764359233</v>
      </c>
      <c r="M38" s="3" t="n">
        <v>5889806409</v>
      </c>
      <c r="N38" s="4">
        <f>IF(J38=0,0,K38/J38)</f>
        <v/>
      </c>
      <c r="O38" s="2" t="n">
        <v>95</v>
      </c>
      <c r="P38" s="2" t="n">
        <v>84</v>
      </c>
      <c r="Q38" s="5" t="inlineStr">
        <is>
          <t>No</t>
        </is>
      </c>
    </row>
    <row r="39">
      <c r="A39" s="6" t="inlineStr">
        <is>
          <t>EV0038</t>
        </is>
      </c>
      <c r="B39" s="6" t="inlineStr">
        <is>
          <t>August</t>
        </is>
      </c>
      <c r="C39" s="6" t="n">
        <v>2023</v>
      </c>
      <c r="D39" s="6" t="inlineStr">
        <is>
          <t>Q3</t>
        </is>
      </c>
      <c r="E39" s="6" t="inlineStr">
        <is>
          <t>HEV</t>
        </is>
      </c>
      <c r="F39" s="6" t="inlineStr">
        <is>
          <t>Commercial</t>
        </is>
      </c>
      <c r="G39" s="6" t="inlineStr">
        <is>
          <t>Tata Motors</t>
        </is>
      </c>
      <c r="H39" s="6" t="inlineStr">
        <is>
          <t>East</t>
        </is>
      </c>
      <c r="I39" s="6" t="inlineStr">
        <is>
          <t>Bihar</t>
        </is>
      </c>
      <c r="J39" s="6" t="n">
        <v>2952</v>
      </c>
      <c r="K39" s="6" t="n">
        <v>3716</v>
      </c>
      <c r="L39" s="7" t="n">
        <v>1518724296</v>
      </c>
      <c r="M39" s="7" t="n">
        <v>1911781668</v>
      </c>
      <c r="N39" s="8">
        <f>IF(J39=0,0,K39/J39)</f>
        <v/>
      </c>
      <c r="O39" s="6" t="n">
        <v>117</v>
      </c>
      <c r="P39" s="6" t="n">
        <v>0</v>
      </c>
      <c r="Q39" s="9" t="inlineStr">
        <is>
          <t>Yes</t>
        </is>
      </c>
    </row>
    <row r="40">
      <c r="A40" s="2" t="inlineStr">
        <is>
          <t>EV0039</t>
        </is>
      </c>
      <c r="B40" s="2" t="inlineStr">
        <is>
          <t>August</t>
        </is>
      </c>
      <c r="C40" s="2" t="n">
        <v>2023</v>
      </c>
      <c r="D40" s="2" t="inlineStr">
        <is>
          <t>Q3</t>
        </is>
      </c>
      <c r="E40" s="2" t="inlineStr">
        <is>
          <t>PHEV</t>
        </is>
      </c>
      <c r="F40" s="2" t="inlineStr">
        <is>
          <t>2-Wheeler</t>
        </is>
      </c>
      <c r="G40" s="2" t="inlineStr">
        <is>
          <t>MG Motor</t>
        </is>
      </c>
      <c r="H40" s="2" t="inlineStr">
        <is>
          <t>West</t>
        </is>
      </c>
      <c r="I40" s="2" t="inlineStr">
        <is>
          <t>Gujarat</t>
        </is>
      </c>
      <c r="J40" s="2" t="n">
        <v>1773</v>
      </c>
      <c r="K40" s="2" t="n">
        <v>1530</v>
      </c>
      <c r="L40" s="3" t="n">
        <v>1708186212</v>
      </c>
      <c r="M40" s="3" t="n">
        <v>1474069320</v>
      </c>
      <c r="N40" s="4">
        <f>IF(J40=0,0,K40/J40)</f>
        <v/>
      </c>
      <c r="O40" s="2" t="n">
        <v>48</v>
      </c>
      <c r="P40" s="2" t="n">
        <v>95</v>
      </c>
      <c r="Q40" s="5" t="inlineStr">
        <is>
          <t>No</t>
        </is>
      </c>
    </row>
    <row r="41">
      <c r="A41" s="6" t="inlineStr">
        <is>
          <t>EV0040</t>
        </is>
      </c>
      <c r="B41" s="6" t="inlineStr">
        <is>
          <t>August</t>
        </is>
      </c>
      <c r="C41" s="6" t="n">
        <v>2023</v>
      </c>
      <c r="D41" s="6" t="inlineStr">
        <is>
          <t>Q3</t>
        </is>
      </c>
      <c r="E41" s="6" t="inlineStr">
        <is>
          <t>HEV</t>
        </is>
      </c>
      <c r="F41" s="6" t="inlineStr">
        <is>
          <t>Passenger Car</t>
        </is>
      </c>
      <c r="G41" s="6" t="inlineStr">
        <is>
          <t>TVS Motor</t>
        </is>
      </c>
      <c r="H41" s="6" t="inlineStr">
        <is>
          <t>Central</t>
        </is>
      </c>
      <c r="I41" s="6" t="inlineStr">
        <is>
          <t>Madhya Pradesh</t>
        </is>
      </c>
      <c r="J41" s="6" t="n">
        <v>4502</v>
      </c>
      <c r="K41" s="6" t="n">
        <v>3829</v>
      </c>
      <c r="L41" s="7" t="n">
        <v>1319383132</v>
      </c>
      <c r="M41" s="7" t="n">
        <v>1122149714</v>
      </c>
      <c r="N41" s="8">
        <f>IF(J41=0,0,K41/J41)</f>
        <v/>
      </c>
      <c r="O41" s="6" t="n">
        <v>16</v>
      </c>
      <c r="P41" s="6" t="n">
        <v>0</v>
      </c>
      <c r="Q41" s="5" t="inlineStr">
        <is>
          <t>No</t>
        </is>
      </c>
    </row>
    <row r="42">
      <c r="A42" s="2" t="inlineStr">
        <is>
          <t>EV0041</t>
        </is>
      </c>
      <c r="B42" s="2" t="inlineStr">
        <is>
          <t>September</t>
        </is>
      </c>
      <c r="C42" s="2" t="n">
        <v>2023</v>
      </c>
      <c r="D42" s="2" t="inlineStr">
        <is>
          <t>Q3</t>
        </is>
      </c>
      <c r="E42" s="2" t="inlineStr">
        <is>
          <t>PHEV</t>
        </is>
      </c>
      <c r="F42" s="2" t="inlineStr">
        <is>
          <t>2-Wheeler</t>
        </is>
      </c>
      <c r="G42" s="2" t="inlineStr">
        <is>
          <t>Tata Motors</t>
        </is>
      </c>
      <c r="H42" s="2" t="inlineStr">
        <is>
          <t>North</t>
        </is>
      </c>
      <c r="I42" s="2" t="inlineStr">
        <is>
          <t>Uttar Pradesh</t>
        </is>
      </c>
      <c r="J42" s="2" t="n">
        <v>3232</v>
      </c>
      <c r="K42" s="2" t="n">
        <v>3757</v>
      </c>
      <c r="L42" s="3" t="n">
        <v>3809623040</v>
      </c>
      <c r="M42" s="3" t="n">
        <v>4428451040</v>
      </c>
      <c r="N42" s="4">
        <f>IF(J42=0,0,K42/J42)</f>
        <v/>
      </c>
      <c r="O42" s="2" t="n">
        <v>99</v>
      </c>
      <c r="P42" s="2" t="n">
        <v>60</v>
      </c>
      <c r="Q42" s="9" t="inlineStr">
        <is>
          <t>Yes</t>
        </is>
      </c>
    </row>
    <row r="43">
      <c r="A43" s="6" t="inlineStr">
        <is>
          <t>EV0042</t>
        </is>
      </c>
      <c r="B43" s="6" t="inlineStr">
        <is>
          <t>September</t>
        </is>
      </c>
      <c r="C43" s="6" t="n">
        <v>2023</v>
      </c>
      <c r="D43" s="6" t="inlineStr">
        <is>
          <t>Q3</t>
        </is>
      </c>
      <c r="E43" s="6" t="inlineStr">
        <is>
          <t>HEV</t>
        </is>
      </c>
      <c r="F43" s="6" t="inlineStr">
        <is>
          <t>SUV</t>
        </is>
      </c>
      <c r="G43" s="6" t="inlineStr">
        <is>
          <t>TVS Motor</t>
        </is>
      </c>
      <c r="H43" s="6" t="inlineStr">
        <is>
          <t>South</t>
        </is>
      </c>
      <c r="I43" s="6" t="inlineStr">
        <is>
          <t>Telangana</t>
        </is>
      </c>
      <c r="J43" s="6" t="n">
        <v>579</v>
      </c>
      <c r="K43" s="6" t="n">
        <v>444</v>
      </c>
      <c r="L43" s="7" t="n">
        <v>408298062</v>
      </c>
      <c r="M43" s="7" t="n">
        <v>313099032</v>
      </c>
      <c r="N43" s="8">
        <f>IF(J43=0,0,K43/J43)</f>
        <v/>
      </c>
      <c r="O43" s="6" t="n">
        <v>74</v>
      </c>
      <c r="P43" s="6" t="n">
        <v>0</v>
      </c>
      <c r="Q43" s="5" t="inlineStr">
        <is>
          <t>No</t>
        </is>
      </c>
    </row>
    <row r="44">
      <c r="A44" s="2" t="inlineStr">
        <is>
          <t>EV0043</t>
        </is>
      </c>
      <c r="B44" s="2" t="inlineStr">
        <is>
          <t>September</t>
        </is>
      </c>
      <c r="C44" s="2" t="n">
        <v>2023</v>
      </c>
      <c r="D44" s="2" t="inlineStr">
        <is>
          <t>Q3</t>
        </is>
      </c>
      <c r="E44" s="2" t="inlineStr">
        <is>
          <t>PHEV</t>
        </is>
      </c>
      <c r="F44" s="2" t="inlineStr">
        <is>
          <t>Commercial</t>
        </is>
      </c>
      <c r="G44" s="2" t="inlineStr">
        <is>
          <t>TVS Motor</t>
        </is>
      </c>
      <c r="H44" s="2" t="inlineStr">
        <is>
          <t>East</t>
        </is>
      </c>
      <c r="I44" s="2" t="inlineStr">
        <is>
          <t>West Bengal</t>
        </is>
      </c>
      <c r="J44" s="2" t="n">
        <v>1713</v>
      </c>
      <c r="K44" s="2" t="n">
        <v>1640</v>
      </c>
      <c r="L44" s="3" t="n">
        <v>437572146</v>
      </c>
      <c r="M44" s="3" t="n">
        <v>418924880</v>
      </c>
      <c r="N44" s="4">
        <f>IF(J44=0,0,K44/J44)</f>
        <v/>
      </c>
      <c r="O44" s="2" t="n">
        <v>51</v>
      </c>
      <c r="P44" s="2" t="n">
        <v>69</v>
      </c>
      <c r="Q44" s="5" t="inlineStr">
        <is>
          <t>No</t>
        </is>
      </c>
    </row>
    <row r="45">
      <c r="A45" s="6" t="inlineStr">
        <is>
          <t>EV0044</t>
        </is>
      </c>
      <c r="B45" s="6" t="inlineStr">
        <is>
          <t>September</t>
        </is>
      </c>
      <c r="C45" s="6" t="n">
        <v>2023</v>
      </c>
      <c r="D45" s="6" t="inlineStr">
        <is>
          <t>Q3</t>
        </is>
      </c>
      <c r="E45" s="6" t="inlineStr">
        <is>
          <t>PHEV</t>
        </is>
      </c>
      <c r="F45" s="6" t="inlineStr">
        <is>
          <t>3-Wheeler</t>
        </is>
      </c>
      <c r="G45" s="6" t="inlineStr">
        <is>
          <t>Ola Electric</t>
        </is>
      </c>
      <c r="H45" s="6" t="inlineStr">
        <is>
          <t>West</t>
        </is>
      </c>
      <c r="I45" s="6" t="inlineStr">
        <is>
          <t>Maharashtra</t>
        </is>
      </c>
      <c r="J45" s="6" t="n">
        <v>1342</v>
      </c>
      <c r="K45" s="6" t="n">
        <v>1224</v>
      </c>
      <c r="L45" s="7" t="n">
        <v>3258806782</v>
      </c>
      <c r="M45" s="7" t="n">
        <v>2972264904</v>
      </c>
      <c r="N45" s="8">
        <f>IF(J45=0,0,K45/J45)</f>
        <v/>
      </c>
      <c r="O45" s="6" t="n">
        <v>84</v>
      </c>
      <c r="P45" s="6" t="n">
        <v>76</v>
      </c>
      <c r="Q45" s="5" t="inlineStr">
        <is>
          <t>No</t>
        </is>
      </c>
    </row>
    <row r="46">
      <c r="A46" s="2" t="inlineStr">
        <is>
          <t>EV0045</t>
        </is>
      </c>
      <c r="B46" s="2" t="inlineStr">
        <is>
          <t>September</t>
        </is>
      </c>
      <c r="C46" s="2" t="n">
        <v>2023</v>
      </c>
      <c r="D46" s="2" t="inlineStr">
        <is>
          <t>Q3</t>
        </is>
      </c>
      <c r="E46" s="2" t="inlineStr">
        <is>
          <t>BEV</t>
        </is>
      </c>
      <c r="F46" s="2" t="inlineStr">
        <is>
          <t>3-Wheeler</t>
        </is>
      </c>
      <c r="G46" s="2" t="inlineStr">
        <is>
          <t>Hyundai</t>
        </is>
      </c>
      <c r="H46" s="2" t="inlineStr">
        <is>
          <t>Central</t>
        </is>
      </c>
      <c r="I46" s="2" t="inlineStr">
        <is>
          <t>Uttarakhand</t>
        </is>
      </c>
      <c r="J46" s="2" t="n">
        <v>1950</v>
      </c>
      <c r="K46" s="2" t="n">
        <v>2396</v>
      </c>
      <c r="L46" s="3" t="n">
        <v>358723950</v>
      </c>
      <c r="M46" s="3" t="n">
        <v>440770556</v>
      </c>
      <c r="N46" s="4">
        <f>IF(J46=0,0,K46/J46)</f>
        <v/>
      </c>
      <c r="O46" s="2" t="n">
        <v>99</v>
      </c>
      <c r="P46" s="2" t="n">
        <v>271</v>
      </c>
      <c r="Q46" s="9" t="inlineStr">
        <is>
          <t>Yes</t>
        </is>
      </c>
    </row>
    <row r="47">
      <c r="A47" s="6" t="inlineStr">
        <is>
          <t>EV0046</t>
        </is>
      </c>
      <c r="B47" s="6" t="inlineStr">
        <is>
          <t>October</t>
        </is>
      </c>
      <c r="C47" s="6" t="n">
        <v>2023</v>
      </c>
      <c r="D47" s="6" t="inlineStr">
        <is>
          <t>Q4</t>
        </is>
      </c>
      <c r="E47" s="6" t="inlineStr">
        <is>
          <t>PHEV</t>
        </is>
      </c>
      <c r="F47" s="6" t="inlineStr">
        <is>
          <t>3-Wheeler</t>
        </is>
      </c>
      <c r="G47" s="6" t="inlineStr">
        <is>
          <t>Ather Energy</t>
        </is>
      </c>
      <c r="H47" s="6" t="inlineStr">
        <is>
          <t>North</t>
        </is>
      </c>
      <c r="I47" s="6" t="inlineStr">
        <is>
          <t>Punjab</t>
        </is>
      </c>
      <c r="J47" s="6" t="n">
        <v>1804</v>
      </c>
      <c r="K47" s="6" t="n">
        <v>2115</v>
      </c>
      <c r="L47" s="7" t="n">
        <v>962226540</v>
      </c>
      <c r="M47" s="7" t="n">
        <v>1128109275</v>
      </c>
      <c r="N47" s="8">
        <f>IF(J47=0,0,K47/J47)</f>
        <v/>
      </c>
      <c r="O47" s="6" t="n">
        <v>116</v>
      </c>
      <c r="P47" s="6" t="n">
        <v>74</v>
      </c>
      <c r="Q47" s="9" t="inlineStr">
        <is>
          <t>Yes</t>
        </is>
      </c>
    </row>
    <row r="48">
      <c r="A48" s="2" t="inlineStr">
        <is>
          <t>EV0047</t>
        </is>
      </c>
      <c r="B48" s="2" t="inlineStr">
        <is>
          <t>October</t>
        </is>
      </c>
      <c r="C48" s="2" t="n">
        <v>2023</v>
      </c>
      <c r="D48" s="2" t="inlineStr">
        <is>
          <t>Q4</t>
        </is>
      </c>
      <c r="E48" s="2" t="inlineStr">
        <is>
          <t>PHEV</t>
        </is>
      </c>
      <c r="F48" s="2" t="inlineStr">
        <is>
          <t>3-Wheeler</t>
        </is>
      </c>
      <c r="G48" s="2" t="inlineStr">
        <is>
          <t>Ola Electric</t>
        </is>
      </c>
      <c r="H48" s="2" t="inlineStr">
        <is>
          <t>South</t>
        </is>
      </c>
      <c r="I48" s="2" t="inlineStr">
        <is>
          <t>Tamil Nadu</t>
        </is>
      </c>
      <c r="J48" s="2" t="n">
        <v>4270</v>
      </c>
      <c r="K48" s="2" t="n">
        <v>3884</v>
      </c>
      <c r="L48" s="3" t="n">
        <v>4417759080</v>
      </c>
      <c r="M48" s="3" t="n">
        <v>4018401936</v>
      </c>
      <c r="N48" s="4">
        <f>IF(J48=0,0,K48/J48)</f>
        <v/>
      </c>
      <c r="O48" s="2" t="n">
        <v>8</v>
      </c>
      <c r="P48" s="2" t="n">
        <v>64</v>
      </c>
      <c r="Q48" s="5" t="inlineStr">
        <is>
          <t>No</t>
        </is>
      </c>
    </row>
    <row r="49">
      <c r="A49" s="6" t="inlineStr">
        <is>
          <t>EV0048</t>
        </is>
      </c>
      <c r="B49" s="6" t="inlineStr">
        <is>
          <t>October</t>
        </is>
      </c>
      <c r="C49" s="6" t="n">
        <v>2023</v>
      </c>
      <c r="D49" s="6" t="inlineStr">
        <is>
          <t>Q4</t>
        </is>
      </c>
      <c r="E49" s="6" t="inlineStr">
        <is>
          <t>PHEV</t>
        </is>
      </c>
      <c r="F49" s="6" t="inlineStr">
        <is>
          <t>Passenger Car</t>
        </is>
      </c>
      <c r="G49" s="6" t="inlineStr">
        <is>
          <t>Ather Energy</t>
        </is>
      </c>
      <c r="H49" s="6" t="inlineStr">
        <is>
          <t>East</t>
        </is>
      </c>
      <c r="I49" s="6" t="inlineStr">
        <is>
          <t>Odisha</t>
        </is>
      </c>
      <c r="J49" s="6" t="n">
        <v>1068</v>
      </c>
      <c r="K49" s="6" t="n">
        <v>1367</v>
      </c>
      <c r="L49" s="7" t="n">
        <v>1335784980</v>
      </c>
      <c r="M49" s="7" t="n">
        <v>1709754745</v>
      </c>
      <c r="N49" s="8">
        <f>IF(J49=0,0,K49/J49)</f>
        <v/>
      </c>
      <c r="O49" s="6" t="n">
        <v>87</v>
      </c>
      <c r="P49" s="6" t="n">
        <v>72</v>
      </c>
      <c r="Q49" s="9" t="inlineStr">
        <is>
          <t>Yes</t>
        </is>
      </c>
    </row>
    <row r="50">
      <c r="A50" s="2" t="inlineStr">
        <is>
          <t>EV0049</t>
        </is>
      </c>
      <c r="B50" s="2" t="inlineStr">
        <is>
          <t>October</t>
        </is>
      </c>
      <c r="C50" s="2" t="n">
        <v>2023</v>
      </c>
      <c r="D50" s="2" t="inlineStr">
        <is>
          <t>Q4</t>
        </is>
      </c>
      <c r="E50" s="2" t="inlineStr">
        <is>
          <t>HEV</t>
        </is>
      </c>
      <c r="F50" s="2" t="inlineStr">
        <is>
          <t>Commercial</t>
        </is>
      </c>
      <c r="G50" s="2" t="inlineStr">
        <is>
          <t>Hero Electric</t>
        </is>
      </c>
      <c r="H50" s="2" t="inlineStr">
        <is>
          <t>West</t>
        </is>
      </c>
      <c r="I50" s="2" t="inlineStr">
        <is>
          <t>Goa</t>
        </is>
      </c>
      <c r="J50" s="2" t="n">
        <v>726</v>
      </c>
      <c r="K50" s="2" t="n">
        <v>558</v>
      </c>
      <c r="L50" s="3" t="n">
        <v>853496490</v>
      </c>
      <c r="M50" s="3" t="n">
        <v>655993170</v>
      </c>
      <c r="N50" s="4">
        <f>IF(J50=0,0,K50/J50)</f>
        <v/>
      </c>
      <c r="O50" s="2" t="n">
        <v>27</v>
      </c>
      <c r="P50" s="2" t="n">
        <v>0</v>
      </c>
      <c r="Q50" s="5" t="inlineStr">
        <is>
          <t>No</t>
        </is>
      </c>
    </row>
    <row r="51">
      <c r="A51" s="6" t="inlineStr">
        <is>
          <t>EV0050</t>
        </is>
      </c>
      <c r="B51" s="6" t="inlineStr">
        <is>
          <t>October</t>
        </is>
      </c>
      <c r="C51" s="6" t="n">
        <v>2023</v>
      </c>
      <c r="D51" s="6" t="inlineStr">
        <is>
          <t>Q4</t>
        </is>
      </c>
      <c r="E51" s="6" t="inlineStr">
        <is>
          <t>PHEV</t>
        </is>
      </c>
      <c r="F51" s="6" t="inlineStr">
        <is>
          <t>2-Wheeler</t>
        </is>
      </c>
      <c r="G51" s="6" t="inlineStr">
        <is>
          <t>MG Motor</t>
        </is>
      </c>
      <c r="H51" s="6" t="inlineStr">
        <is>
          <t>Central</t>
        </is>
      </c>
      <c r="I51" s="6" t="inlineStr">
        <is>
          <t>Uttarakhand</t>
        </is>
      </c>
      <c r="J51" s="6" t="n">
        <v>4059</v>
      </c>
      <c r="K51" s="6" t="n">
        <v>3683</v>
      </c>
      <c r="L51" s="7" t="n">
        <v>5664975822</v>
      </c>
      <c r="M51" s="7" t="n">
        <v>5140208414</v>
      </c>
      <c r="N51" s="8">
        <f>IF(J51=0,0,K51/J51)</f>
        <v/>
      </c>
      <c r="O51" s="6" t="n">
        <v>82</v>
      </c>
      <c r="P51" s="6" t="n">
        <v>77</v>
      </c>
      <c r="Q51" s="5" t="inlineStr">
        <is>
          <t>No</t>
        </is>
      </c>
    </row>
    <row r="52">
      <c r="A52" s="2" t="inlineStr">
        <is>
          <t>EV0051</t>
        </is>
      </c>
      <c r="B52" s="2" t="inlineStr">
        <is>
          <t>November</t>
        </is>
      </c>
      <c r="C52" s="2" t="n">
        <v>2023</v>
      </c>
      <c r="D52" s="2" t="inlineStr">
        <is>
          <t>Q4</t>
        </is>
      </c>
      <c r="E52" s="2" t="inlineStr">
        <is>
          <t>PHEV</t>
        </is>
      </c>
      <c r="F52" s="2" t="inlineStr">
        <is>
          <t>Commercial</t>
        </is>
      </c>
      <c r="G52" s="2" t="inlineStr">
        <is>
          <t>Ola Electric</t>
        </is>
      </c>
      <c r="H52" s="2" t="inlineStr">
        <is>
          <t>North</t>
        </is>
      </c>
      <c r="I52" s="2" t="inlineStr">
        <is>
          <t>Delhi</t>
        </is>
      </c>
      <c r="J52" s="2" t="n">
        <v>2586</v>
      </c>
      <c r="K52" s="2" t="n">
        <v>1879</v>
      </c>
      <c r="L52" s="3" t="n">
        <v>4936562802</v>
      </c>
      <c r="M52" s="3" t="n">
        <v>3586930203</v>
      </c>
      <c r="N52" s="4">
        <f>IF(J52=0,0,K52/J52)</f>
        <v/>
      </c>
      <c r="O52" s="2" t="n">
        <v>71</v>
      </c>
      <c r="P52" s="2" t="n">
        <v>50</v>
      </c>
      <c r="Q52" s="5" t="inlineStr">
        <is>
          <t>No</t>
        </is>
      </c>
    </row>
    <row r="53">
      <c r="A53" s="6" t="inlineStr">
        <is>
          <t>EV0052</t>
        </is>
      </c>
      <c r="B53" s="6" t="inlineStr">
        <is>
          <t>November</t>
        </is>
      </c>
      <c r="C53" s="6" t="n">
        <v>2023</v>
      </c>
      <c r="D53" s="6" t="inlineStr">
        <is>
          <t>Q4</t>
        </is>
      </c>
      <c r="E53" s="6" t="inlineStr">
        <is>
          <t>PHEV</t>
        </is>
      </c>
      <c r="F53" s="6" t="inlineStr">
        <is>
          <t>SUV</t>
        </is>
      </c>
      <c r="G53" s="6" t="inlineStr">
        <is>
          <t>MG Motor</t>
        </is>
      </c>
      <c r="H53" s="6" t="inlineStr">
        <is>
          <t>South</t>
        </is>
      </c>
      <c r="I53" s="6" t="inlineStr">
        <is>
          <t>Karnataka</t>
        </is>
      </c>
      <c r="J53" s="6" t="n">
        <v>3204</v>
      </c>
      <c r="K53" s="6" t="n">
        <v>3440</v>
      </c>
      <c r="L53" s="7" t="n">
        <v>1931102064</v>
      </c>
      <c r="M53" s="7" t="n">
        <v>2073343040</v>
      </c>
      <c r="N53" s="8">
        <f>IF(J53=0,0,K53/J53)</f>
        <v/>
      </c>
      <c r="O53" s="6" t="n">
        <v>120</v>
      </c>
      <c r="P53" s="6" t="n">
        <v>96</v>
      </c>
      <c r="Q53" s="9" t="inlineStr">
        <is>
          <t>Yes</t>
        </is>
      </c>
    </row>
    <row r="54">
      <c r="A54" s="2" t="inlineStr">
        <is>
          <t>EV0053</t>
        </is>
      </c>
      <c r="B54" s="2" t="inlineStr">
        <is>
          <t>November</t>
        </is>
      </c>
      <c r="C54" s="2" t="n">
        <v>2023</v>
      </c>
      <c r="D54" s="2" t="inlineStr">
        <is>
          <t>Q4</t>
        </is>
      </c>
      <c r="E54" s="2" t="inlineStr">
        <is>
          <t>HEV</t>
        </is>
      </c>
      <c r="F54" s="2" t="inlineStr">
        <is>
          <t>Passenger Car</t>
        </is>
      </c>
      <c r="G54" s="2" t="inlineStr">
        <is>
          <t>Mahindra</t>
        </is>
      </c>
      <c r="H54" s="2" t="inlineStr">
        <is>
          <t>East</t>
        </is>
      </c>
      <c r="I54" s="2" t="inlineStr">
        <is>
          <t>Bihar</t>
        </is>
      </c>
      <c r="J54" s="2" t="n">
        <v>3172</v>
      </c>
      <c r="K54" s="2" t="n">
        <v>2986</v>
      </c>
      <c r="L54" s="3" t="n">
        <v>4187252524</v>
      </c>
      <c r="M54" s="3" t="n">
        <v>3941720062</v>
      </c>
      <c r="N54" s="4">
        <f>IF(J54=0,0,K54/J54)</f>
        <v/>
      </c>
      <c r="O54" s="2" t="n">
        <v>75</v>
      </c>
      <c r="P54" s="2" t="n">
        <v>0</v>
      </c>
      <c r="Q54" s="5" t="inlineStr">
        <is>
          <t>No</t>
        </is>
      </c>
    </row>
    <row r="55">
      <c r="A55" s="6" t="inlineStr">
        <is>
          <t>EV0054</t>
        </is>
      </c>
      <c r="B55" s="6" t="inlineStr">
        <is>
          <t>November</t>
        </is>
      </c>
      <c r="C55" s="6" t="n">
        <v>2023</v>
      </c>
      <c r="D55" s="6" t="inlineStr">
        <is>
          <t>Q4</t>
        </is>
      </c>
      <c r="E55" s="6" t="inlineStr">
        <is>
          <t>BEV</t>
        </is>
      </c>
      <c r="F55" s="6" t="inlineStr">
        <is>
          <t>SUV</t>
        </is>
      </c>
      <c r="G55" s="6" t="inlineStr">
        <is>
          <t>Mahindra</t>
        </is>
      </c>
      <c r="H55" s="6" t="inlineStr">
        <is>
          <t>West</t>
        </is>
      </c>
      <c r="I55" s="6" t="inlineStr">
        <is>
          <t>Gujarat</t>
        </is>
      </c>
      <c r="J55" s="6" t="n">
        <v>1925</v>
      </c>
      <c r="K55" s="6" t="n">
        <v>2058</v>
      </c>
      <c r="L55" s="7" t="n">
        <v>2583879375</v>
      </c>
      <c r="M55" s="7" t="n">
        <v>2762401950</v>
      </c>
      <c r="N55" s="8">
        <f>IF(J55=0,0,K55/J55)</f>
        <v/>
      </c>
      <c r="O55" s="6" t="n">
        <v>75</v>
      </c>
      <c r="P55" s="6" t="n">
        <v>387</v>
      </c>
      <c r="Q55" s="9" t="inlineStr">
        <is>
          <t>Yes</t>
        </is>
      </c>
    </row>
    <row r="56">
      <c r="A56" s="2" t="inlineStr">
        <is>
          <t>EV0055</t>
        </is>
      </c>
      <c r="B56" s="2" t="inlineStr">
        <is>
          <t>November</t>
        </is>
      </c>
      <c r="C56" s="2" t="n">
        <v>2023</v>
      </c>
      <c r="D56" s="2" t="inlineStr">
        <is>
          <t>Q4</t>
        </is>
      </c>
      <c r="E56" s="2" t="inlineStr">
        <is>
          <t>PHEV</t>
        </is>
      </c>
      <c r="F56" s="2" t="inlineStr">
        <is>
          <t>Passenger Car</t>
        </is>
      </c>
      <c r="G56" s="2" t="inlineStr">
        <is>
          <t>Ola Electric</t>
        </is>
      </c>
      <c r="H56" s="2" t="inlineStr">
        <is>
          <t>Central</t>
        </is>
      </c>
      <c r="I56" s="2" t="inlineStr">
        <is>
          <t>Madhya Pradesh</t>
        </is>
      </c>
      <c r="J56" s="2" t="n">
        <v>4021</v>
      </c>
      <c r="K56" s="2" t="n">
        <v>4710</v>
      </c>
      <c r="L56" s="3" t="n">
        <v>5756507831</v>
      </c>
      <c r="M56" s="3" t="n">
        <v>6742887810</v>
      </c>
      <c r="N56" s="4">
        <f>IF(J56=0,0,K56/J56)</f>
        <v/>
      </c>
      <c r="O56" s="2" t="n">
        <v>61</v>
      </c>
      <c r="P56" s="2" t="n">
        <v>79</v>
      </c>
      <c r="Q56" s="9" t="inlineStr">
        <is>
          <t>Yes</t>
        </is>
      </c>
    </row>
    <row r="57">
      <c r="A57" s="6" t="inlineStr">
        <is>
          <t>EV0056</t>
        </is>
      </c>
      <c r="B57" s="6" t="inlineStr">
        <is>
          <t>December</t>
        </is>
      </c>
      <c r="C57" s="6" t="n">
        <v>2023</v>
      </c>
      <c r="D57" s="6" t="inlineStr">
        <is>
          <t>Q4</t>
        </is>
      </c>
      <c r="E57" s="6" t="inlineStr">
        <is>
          <t>HEV</t>
        </is>
      </c>
      <c r="F57" s="6" t="inlineStr">
        <is>
          <t>3-Wheeler</t>
        </is>
      </c>
      <c r="G57" s="6" t="inlineStr">
        <is>
          <t>TVS Motor</t>
        </is>
      </c>
      <c r="H57" s="6" t="inlineStr">
        <is>
          <t>North</t>
        </is>
      </c>
      <c r="I57" s="6" t="inlineStr">
        <is>
          <t>Uttar Pradesh</t>
        </is>
      </c>
      <c r="J57" s="6" t="n">
        <v>4376</v>
      </c>
      <c r="K57" s="6" t="n">
        <v>5147</v>
      </c>
      <c r="L57" s="7" t="n">
        <v>3464641112</v>
      </c>
      <c r="M57" s="7" t="n">
        <v>4075070339</v>
      </c>
      <c r="N57" s="8">
        <f>IF(J57=0,0,K57/J57)</f>
        <v/>
      </c>
      <c r="O57" s="6" t="n">
        <v>89</v>
      </c>
      <c r="P57" s="6" t="n">
        <v>0</v>
      </c>
      <c r="Q57" s="9" t="inlineStr">
        <is>
          <t>Yes</t>
        </is>
      </c>
    </row>
    <row r="58">
      <c r="A58" s="2" t="inlineStr">
        <is>
          <t>EV0057</t>
        </is>
      </c>
      <c r="B58" s="2" t="inlineStr">
        <is>
          <t>December</t>
        </is>
      </c>
      <c r="C58" s="2" t="n">
        <v>2023</v>
      </c>
      <c r="D58" s="2" t="inlineStr">
        <is>
          <t>Q4</t>
        </is>
      </c>
      <c r="E58" s="2" t="inlineStr">
        <is>
          <t>PHEV</t>
        </is>
      </c>
      <c r="F58" s="2" t="inlineStr">
        <is>
          <t>Commercial</t>
        </is>
      </c>
      <c r="G58" s="2" t="inlineStr">
        <is>
          <t>Bajaj</t>
        </is>
      </c>
      <c r="H58" s="2" t="inlineStr">
        <is>
          <t>South</t>
        </is>
      </c>
      <c r="I58" s="2" t="inlineStr">
        <is>
          <t>Tamil Nadu</t>
        </is>
      </c>
      <c r="J58" s="2" t="n">
        <v>3245</v>
      </c>
      <c r="K58" s="2" t="n">
        <v>2453</v>
      </c>
      <c r="L58" s="3" t="n">
        <v>3456281950</v>
      </c>
      <c r="M58" s="3" t="n">
        <v>2612714830</v>
      </c>
      <c r="N58" s="4">
        <f>IF(J58=0,0,K58/J58)</f>
        <v/>
      </c>
      <c r="O58" s="2" t="n">
        <v>44</v>
      </c>
      <c r="P58" s="2" t="n">
        <v>93</v>
      </c>
      <c r="Q58" s="5" t="inlineStr">
        <is>
          <t>No</t>
        </is>
      </c>
    </row>
    <row r="59">
      <c r="A59" s="6" t="inlineStr">
        <is>
          <t>EV0058</t>
        </is>
      </c>
      <c r="B59" s="6" t="inlineStr">
        <is>
          <t>December</t>
        </is>
      </c>
      <c r="C59" s="6" t="n">
        <v>2023</v>
      </c>
      <c r="D59" s="6" t="inlineStr">
        <is>
          <t>Q4</t>
        </is>
      </c>
      <c r="E59" s="6" t="inlineStr">
        <is>
          <t>BEV</t>
        </is>
      </c>
      <c r="F59" s="6" t="inlineStr">
        <is>
          <t>3-Wheeler</t>
        </is>
      </c>
      <c r="G59" s="6" t="inlineStr">
        <is>
          <t>Tata Motors</t>
        </is>
      </c>
      <c r="H59" s="6" t="inlineStr">
        <is>
          <t>East</t>
        </is>
      </c>
      <c r="I59" s="6" t="inlineStr">
        <is>
          <t>Odisha</t>
        </is>
      </c>
      <c r="J59" s="6" t="n">
        <v>878</v>
      </c>
      <c r="K59" s="6" t="n">
        <v>743</v>
      </c>
      <c r="L59" s="7" t="n">
        <v>1819976348</v>
      </c>
      <c r="M59" s="7" t="n">
        <v>1540139438</v>
      </c>
      <c r="N59" s="8">
        <f>IF(J59=0,0,K59/J59)</f>
        <v/>
      </c>
      <c r="O59" s="6" t="n">
        <v>63</v>
      </c>
      <c r="P59" s="6" t="n">
        <v>217</v>
      </c>
      <c r="Q59" s="5" t="inlineStr">
        <is>
          <t>No</t>
        </is>
      </c>
    </row>
    <row r="60">
      <c r="A60" s="2" t="inlineStr">
        <is>
          <t>EV0059</t>
        </is>
      </c>
      <c r="B60" s="2" t="inlineStr">
        <is>
          <t>December</t>
        </is>
      </c>
      <c r="C60" s="2" t="n">
        <v>2023</v>
      </c>
      <c r="D60" s="2" t="inlineStr">
        <is>
          <t>Q4</t>
        </is>
      </c>
      <c r="E60" s="2" t="inlineStr">
        <is>
          <t>HEV</t>
        </is>
      </c>
      <c r="F60" s="2" t="inlineStr">
        <is>
          <t>Commercial</t>
        </is>
      </c>
      <c r="G60" s="2" t="inlineStr">
        <is>
          <t>Ola Electric</t>
        </is>
      </c>
      <c r="H60" s="2" t="inlineStr">
        <is>
          <t>West</t>
        </is>
      </c>
      <c r="I60" s="2" t="inlineStr">
        <is>
          <t>Goa</t>
        </is>
      </c>
      <c r="J60" s="2" t="n">
        <v>3645</v>
      </c>
      <c r="K60" s="2" t="n">
        <v>3632</v>
      </c>
      <c r="L60" s="3" t="n">
        <v>4021688880</v>
      </c>
      <c r="M60" s="3" t="n">
        <v>4007345408</v>
      </c>
      <c r="N60" s="4">
        <f>IF(J60=0,0,K60/J60)</f>
        <v/>
      </c>
      <c r="O60" s="2" t="n">
        <v>23</v>
      </c>
      <c r="P60" s="2" t="n">
        <v>0</v>
      </c>
      <c r="Q60" s="5" t="inlineStr">
        <is>
          <t>No</t>
        </is>
      </c>
    </row>
    <row r="61">
      <c r="A61" s="6" t="inlineStr">
        <is>
          <t>EV0060</t>
        </is>
      </c>
      <c r="B61" s="6" t="inlineStr">
        <is>
          <t>December</t>
        </is>
      </c>
      <c r="C61" s="6" t="n">
        <v>2023</v>
      </c>
      <c r="D61" s="6" t="inlineStr">
        <is>
          <t>Q4</t>
        </is>
      </c>
      <c r="E61" s="6" t="inlineStr">
        <is>
          <t>HEV</t>
        </is>
      </c>
      <c r="F61" s="6" t="inlineStr">
        <is>
          <t>2-Wheeler</t>
        </is>
      </c>
      <c r="G61" s="6" t="inlineStr">
        <is>
          <t>MG Motor</t>
        </is>
      </c>
      <c r="H61" s="6" t="inlineStr">
        <is>
          <t>Central</t>
        </is>
      </c>
      <c r="I61" s="6" t="inlineStr">
        <is>
          <t>Uttarakhand</t>
        </is>
      </c>
      <c r="J61" s="6" t="n">
        <v>3982</v>
      </c>
      <c r="K61" s="6" t="n">
        <v>3310</v>
      </c>
      <c r="L61" s="7" t="n">
        <v>8969343504</v>
      </c>
      <c r="M61" s="7" t="n">
        <v>7455682320</v>
      </c>
      <c r="N61" s="8">
        <f>IF(J61=0,0,K61/J61)</f>
        <v/>
      </c>
      <c r="O61" s="6" t="n">
        <v>64</v>
      </c>
      <c r="P61" s="6" t="n">
        <v>0</v>
      </c>
      <c r="Q61" s="5" t="inlineStr">
        <is>
          <t>No</t>
        </is>
      </c>
    </row>
    <row r="62">
      <c r="A62" s="2" t="inlineStr">
        <is>
          <t>EV0061</t>
        </is>
      </c>
      <c r="B62" s="2" t="inlineStr">
        <is>
          <t>January</t>
        </is>
      </c>
      <c r="C62" s="2" t="n">
        <v>2024</v>
      </c>
      <c r="D62" s="2" t="inlineStr">
        <is>
          <t>Q1</t>
        </is>
      </c>
      <c r="E62" s="2" t="inlineStr">
        <is>
          <t>HEV</t>
        </is>
      </c>
      <c r="F62" s="2" t="inlineStr">
        <is>
          <t>3-Wheeler</t>
        </is>
      </c>
      <c r="G62" s="2" t="inlineStr">
        <is>
          <t>MG Motor</t>
        </is>
      </c>
      <c r="H62" s="2" t="inlineStr">
        <is>
          <t>North</t>
        </is>
      </c>
      <c r="I62" s="2" t="inlineStr">
        <is>
          <t>Delhi</t>
        </is>
      </c>
      <c r="J62" s="2" t="n">
        <v>4239</v>
      </c>
      <c r="K62" s="2" t="n">
        <v>3306</v>
      </c>
      <c r="L62" s="3" t="n">
        <v>8600312106</v>
      </c>
      <c r="M62" s="3" t="n">
        <v>6707391324</v>
      </c>
      <c r="N62" s="4">
        <f>IF(J62=0,0,K62/J62)</f>
        <v/>
      </c>
      <c r="O62" s="2" t="n">
        <v>90</v>
      </c>
      <c r="P62" s="2" t="n">
        <v>0</v>
      </c>
      <c r="Q62" s="5" t="inlineStr">
        <is>
          <t>No</t>
        </is>
      </c>
    </row>
    <row r="63">
      <c r="A63" s="6" t="inlineStr">
        <is>
          <t>EV0062</t>
        </is>
      </c>
      <c r="B63" s="6" t="inlineStr">
        <is>
          <t>January</t>
        </is>
      </c>
      <c r="C63" s="6" t="n">
        <v>2024</v>
      </c>
      <c r="D63" s="6" t="inlineStr">
        <is>
          <t>Q1</t>
        </is>
      </c>
      <c r="E63" s="6" t="inlineStr">
        <is>
          <t>PHEV</t>
        </is>
      </c>
      <c r="F63" s="6" t="inlineStr">
        <is>
          <t>Commercial</t>
        </is>
      </c>
      <c r="G63" s="6" t="inlineStr">
        <is>
          <t>TVS Motor</t>
        </is>
      </c>
      <c r="H63" s="6" t="inlineStr">
        <is>
          <t>South</t>
        </is>
      </c>
      <c r="I63" s="6" t="inlineStr">
        <is>
          <t>Kerala</t>
        </is>
      </c>
      <c r="J63" s="6" t="n">
        <v>3995</v>
      </c>
      <c r="K63" s="6" t="n">
        <v>4787</v>
      </c>
      <c r="L63" s="7" t="n">
        <v>9499874295</v>
      </c>
      <c r="M63" s="7" t="n">
        <v>11383203567</v>
      </c>
      <c r="N63" s="8">
        <f>IF(J63=0,0,K63/J63)</f>
        <v/>
      </c>
      <c r="O63" s="6" t="n">
        <v>119</v>
      </c>
      <c r="P63" s="6" t="n">
        <v>78</v>
      </c>
      <c r="Q63" s="9" t="inlineStr">
        <is>
          <t>Yes</t>
        </is>
      </c>
    </row>
    <row r="64">
      <c r="A64" s="2" t="inlineStr">
        <is>
          <t>EV0063</t>
        </is>
      </c>
      <c r="B64" s="2" t="inlineStr">
        <is>
          <t>January</t>
        </is>
      </c>
      <c r="C64" s="2" t="n">
        <v>2024</v>
      </c>
      <c r="D64" s="2" t="inlineStr">
        <is>
          <t>Q1</t>
        </is>
      </c>
      <c r="E64" s="2" t="inlineStr">
        <is>
          <t>HEV</t>
        </is>
      </c>
      <c r="F64" s="2" t="inlineStr">
        <is>
          <t>SUV</t>
        </is>
      </c>
      <c r="G64" s="2" t="inlineStr">
        <is>
          <t>Revolt Motors</t>
        </is>
      </c>
      <c r="H64" s="2" t="inlineStr">
        <is>
          <t>East</t>
        </is>
      </c>
      <c r="I64" s="2" t="inlineStr">
        <is>
          <t>Odisha</t>
        </is>
      </c>
      <c r="J64" s="2" t="n">
        <v>2623</v>
      </c>
      <c r="K64" s="2" t="n">
        <v>3019</v>
      </c>
      <c r="L64" s="3" t="n">
        <v>3260724744</v>
      </c>
      <c r="M64" s="3" t="n">
        <v>3753003432</v>
      </c>
      <c r="N64" s="4">
        <f>IF(J64=0,0,K64/J64)</f>
        <v/>
      </c>
      <c r="O64" s="2" t="n">
        <v>103</v>
      </c>
      <c r="P64" s="2" t="n">
        <v>0</v>
      </c>
      <c r="Q64" s="9" t="inlineStr">
        <is>
          <t>Yes</t>
        </is>
      </c>
    </row>
    <row r="65">
      <c r="A65" s="6" t="inlineStr">
        <is>
          <t>EV0064</t>
        </is>
      </c>
      <c r="B65" s="6" t="inlineStr">
        <is>
          <t>January</t>
        </is>
      </c>
      <c r="C65" s="6" t="n">
        <v>2024</v>
      </c>
      <c r="D65" s="6" t="inlineStr">
        <is>
          <t>Q1</t>
        </is>
      </c>
      <c r="E65" s="6" t="inlineStr">
        <is>
          <t>HEV</t>
        </is>
      </c>
      <c r="F65" s="6" t="inlineStr">
        <is>
          <t>3-Wheeler</t>
        </is>
      </c>
      <c r="G65" s="6" t="inlineStr">
        <is>
          <t>Ather Energy</t>
        </is>
      </c>
      <c r="H65" s="6" t="inlineStr">
        <is>
          <t>West</t>
        </is>
      </c>
      <c r="I65" s="6" t="inlineStr">
        <is>
          <t>Goa</t>
        </is>
      </c>
      <c r="J65" s="6" t="n">
        <v>4103</v>
      </c>
      <c r="K65" s="6" t="n">
        <v>3062</v>
      </c>
      <c r="L65" s="7" t="n">
        <v>5245398290</v>
      </c>
      <c r="M65" s="7" t="n">
        <v>3914552660</v>
      </c>
      <c r="N65" s="8">
        <f>IF(J65=0,0,K65/J65)</f>
        <v/>
      </c>
      <c r="O65" s="6" t="n">
        <v>35</v>
      </c>
      <c r="P65" s="6" t="n">
        <v>0</v>
      </c>
      <c r="Q65" s="5" t="inlineStr">
        <is>
          <t>No</t>
        </is>
      </c>
    </row>
    <row r="66">
      <c r="A66" s="2" t="inlineStr">
        <is>
          <t>EV0065</t>
        </is>
      </c>
      <c r="B66" s="2" t="inlineStr">
        <is>
          <t>January</t>
        </is>
      </c>
      <c r="C66" s="2" t="n">
        <v>2024</v>
      </c>
      <c r="D66" s="2" t="inlineStr">
        <is>
          <t>Q1</t>
        </is>
      </c>
      <c r="E66" s="2" t="inlineStr">
        <is>
          <t>PHEV</t>
        </is>
      </c>
      <c r="F66" s="2" t="inlineStr">
        <is>
          <t>Passenger Car</t>
        </is>
      </c>
      <c r="G66" s="2" t="inlineStr">
        <is>
          <t>TVS Motor</t>
        </is>
      </c>
      <c r="H66" s="2" t="inlineStr">
        <is>
          <t>Central</t>
        </is>
      </c>
      <c r="I66" s="2" t="inlineStr">
        <is>
          <t>Chhattisgarh</t>
        </is>
      </c>
      <c r="J66" s="2" t="n">
        <v>1160</v>
      </c>
      <c r="K66" s="2" t="n">
        <v>908</v>
      </c>
      <c r="L66" s="3" t="n">
        <v>1217976800</v>
      </c>
      <c r="M66" s="3" t="n">
        <v>953381840</v>
      </c>
      <c r="N66" s="4">
        <f>IF(J66=0,0,K66/J66)</f>
        <v/>
      </c>
      <c r="O66" s="2" t="n">
        <v>93</v>
      </c>
      <c r="P66" s="2" t="n">
        <v>74</v>
      </c>
      <c r="Q66" s="5" t="inlineStr">
        <is>
          <t>No</t>
        </is>
      </c>
    </row>
    <row r="67">
      <c r="A67" s="6" t="inlineStr">
        <is>
          <t>EV0066</t>
        </is>
      </c>
      <c r="B67" s="6" t="inlineStr">
        <is>
          <t>February</t>
        </is>
      </c>
      <c r="C67" s="6" t="n">
        <v>2024</v>
      </c>
      <c r="D67" s="6" t="inlineStr">
        <is>
          <t>Q1</t>
        </is>
      </c>
      <c r="E67" s="6" t="inlineStr">
        <is>
          <t>HEV</t>
        </is>
      </c>
      <c r="F67" s="6" t="inlineStr">
        <is>
          <t>3-Wheeler</t>
        </is>
      </c>
      <c r="G67" s="6" t="inlineStr">
        <is>
          <t>MG Motor</t>
        </is>
      </c>
      <c r="H67" s="6" t="inlineStr">
        <is>
          <t>North</t>
        </is>
      </c>
      <c r="I67" s="6" t="inlineStr">
        <is>
          <t>Haryana</t>
        </is>
      </c>
      <c r="J67" s="6" t="n">
        <v>3898</v>
      </c>
      <c r="K67" s="6" t="n">
        <v>3681</v>
      </c>
      <c r="L67" s="7" t="n">
        <v>9183204648</v>
      </c>
      <c r="M67" s="7" t="n">
        <v>8671979556</v>
      </c>
      <c r="N67" s="8">
        <f>IF(J67=0,0,K67/J67)</f>
        <v/>
      </c>
      <c r="O67" s="6" t="n">
        <v>64</v>
      </c>
      <c r="P67" s="6" t="n">
        <v>0</v>
      </c>
      <c r="Q67" s="5" t="inlineStr">
        <is>
          <t>No</t>
        </is>
      </c>
    </row>
    <row r="68">
      <c r="A68" s="2" t="inlineStr">
        <is>
          <t>EV0067</t>
        </is>
      </c>
      <c r="B68" s="2" t="inlineStr">
        <is>
          <t>February</t>
        </is>
      </c>
      <c r="C68" s="2" t="n">
        <v>2024</v>
      </c>
      <c r="D68" s="2" t="inlineStr">
        <is>
          <t>Q1</t>
        </is>
      </c>
      <c r="E68" s="2" t="inlineStr">
        <is>
          <t>BEV</t>
        </is>
      </c>
      <c r="F68" s="2" t="inlineStr">
        <is>
          <t>3-Wheeler</t>
        </is>
      </c>
      <c r="G68" s="2" t="inlineStr">
        <is>
          <t>Mahindra</t>
        </is>
      </c>
      <c r="H68" s="2" t="inlineStr">
        <is>
          <t>South</t>
        </is>
      </c>
      <c r="I68" s="2" t="inlineStr">
        <is>
          <t>Telangana</t>
        </is>
      </c>
      <c r="J68" s="2" t="n">
        <v>3690</v>
      </c>
      <c r="K68" s="2" t="n">
        <v>4586</v>
      </c>
      <c r="L68" s="3" t="n">
        <v>597492180</v>
      </c>
      <c r="M68" s="3" t="n">
        <v>742574292</v>
      </c>
      <c r="N68" s="4">
        <f>IF(J68=0,0,K68/J68)</f>
        <v/>
      </c>
      <c r="O68" s="2" t="n">
        <v>66</v>
      </c>
      <c r="P68" s="2" t="n">
        <v>374</v>
      </c>
      <c r="Q68" s="9" t="inlineStr">
        <is>
          <t>Yes</t>
        </is>
      </c>
    </row>
    <row r="69">
      <c r="A69" s="6" t="inlineStr">
        <is>
          <t>EV0068</t>
        </is>
      </c>
      <c r="B69" s="6" t="inlineStr">
        <is>
          <t>February</t>
        </is>
      </c>
      <c r="C69" s="6" t="n">
        <v>2024</v>
      </c>
      <c r="D69" s="6" t="inlineStr">
        <is>
          <t>Q1</t>
        </is>
      </c>
      <c r="E69" s="6" t="inlineStr">
        <is>
          <t>PHEV</t>
        </is>
      </c>
      <c r="F69" s="6" t="inlineStr">
        <is>
          <t>Passenger Car</t>
        </is>
      </c>
      <c r="G69" s="6" t="inlineStr">
        <is>
          <t>Mahindra</t>
        </is>
      </c>
      <c r="H69" s="6" t="inlineStr">
        <is>
          <t>East</t>
        </is>
      </c>
      <c r="I69" s="6" t="inlineStr">
        <is>
          <t>West Bengal</t>
        </is>
      </c>
      <c r="J69" s="6" t="n">
        <v>3932</v>
      </c>
      <c r="K69" s="6" t="n">
        <v>4022</v>
      </c>
      <c r="L69" s="7" t="n">
        <v>9321372208</v>
      </c>
      <c r="M69" s="7" t="n">
        <v>9534730168</v>
      </c>
      <c r="N69" s="8">
        <f>IF(J69=0,0,K69/J69)</f>
        <v/>
      </c>
      <c r="O69" s="6" t="n">
        <v>119</v>
      </c>
      <c r="P69" s="6" t="n">
        <v>88</v>
      </c>
      <c r="Q69" s="9" t="inlineStr">
        <is>
          <t>Yes</t>
        </is>
      </c>
    </row>
    <row r="70">
      <c r="A70" s="2" t="inlineStr">
        <is>
          <t>EV0069</t>
        </is>
      </c>
      <c r="B70" s="2" t="inlineStr">
        <is>
          <t>February</t>
        </is>
      </c>
      <c r="C70" s="2" t="n">
        <v>2024</v>
      </c>
      <c r="D70" s="2" t="inlineStr">
        <is>
          <t>Q1</t>
        </is>
      </c>
      <c r="E70" s="2" t="inlineStr">
        <is>
          <t>PHEV</t>
        </is>
      </c>
      <c r="F70" s="2" t="inlineStr">
        <is>
          <t>3-Wheeler</t>
        </is>
      </c>
      <c r="G70" s="2" t="inlineStr">
        <is>
          <t>Ather Energy</t>
        </is>
      </c>
      <c r="H70" s="2" t="inlineStr">
        <is>
          <t>West</t>
        </is>
      </c>
      <c r="I70" s="2" t="inlineStr">
        <is>
          <t>Gujarat</t>
        </is>
      </c>
      <c r="J70" s="2" t="n">
        <v>4070</v>
      </c>
      <c r="K70" s="2" t="n">
        <v>4034</v>
      </c>
      <c r="L70" s="3" t="n">
        <v>6963708950</v>
      </c>
      <c r="M70" s="3" t="n">
        <v>6902113490</v>
      </c>
      <c r="N70" s="4">
        <f>IF(J70=0,0,K70/J70)</f>
        <v/>
      </c>
      <c r="O70" s="2" t="n">
        <v>90</v>
      </c>
      <c r="P70" s="2" t="n">
        <v>71</v>
      </c>
      <c r="Q70" s="5" t="inlineStr">
        <is>
          <t>No</t>
        </is>
      </c>
    </row>
    <row r="71">
      <c r="A71" s="6" t="inlineStr">
        <is>
          <t>EV0070</t>
        </is>
      </c>
      <c r="B71" s="6" t="inlineStr">
        <is>
          <t>February</t>
        </is>
      </c>
      <c r="C71" s="6" t="n">
        <v>2024</v>
      </c>
      <c r="D71" s="6" t="inlineStr">
        <is>
          <t>Q1</t>
        </is>
      </c>
      <c r="E71" s="6" t="inlineStr">
        <is>
          <t>PHEV</t>
        </is>
      </c>
      <c r="F71" s="6" t="inlineStr">
        <is>
          <t>3-Wheeler</t>
        </is>
      </c>
      <c r="G71" s="6" t="inlineStr">
        <is>
          <t>Revolt Motors</t>
        </is>
      </c>
      <c r="H71" s="6" t="inlineStr">
        <is>
          <t>Central</t>
        </is>
      </c>
      <c r="I71" s="6" t="inlineStr">
        <is>
          <t>Uttarakhand</t>
        </is>
      </c>
      <c r="J71" s="6" t="n">
        <v>1545</v>
      </c>
      <c r="K71" s="6" t="n">
        <v>1990</v>
      </c>
      <c r="L71" s="7" t="n">
        <v>3584826420</v>
      </c>
      <c r="M71" s="7" t="n">
        <v>4617349240</v>
      </c>
      <c r="N71" s="8">
        <f>IF(J71=0,0,K71/J71)</f>
        <v/>
      </c>
      <c r="O71" s="6" t="n">
        <v>55</v>
      </c>
      <c r="P71" s="6" t="n">
        <v>51</v>
      </c>
      <c r="Q71" s="9" t="inlineStr">
        <is>
          <t>Yes</t>
        </is>
      </c>
    </row>
    <row r="72">
      <c r="A72" s="2" t="inlineStr">
        <is>
          <t>EV0071</t>
        </is>
      </c>
      <c r="B72" s="2" t="inlineStr">
        <is>
          <t>March</t>
        </is>
      </c>
      <c r="C72" s="2" t="n">
        <v>2024</v>
      </c>
      <c r="D72" s="2" t="inlineStr">
        <is>
          <t>Q1</t>
        </is>
      </c>
      <c r="E72" s="2" t="inlineStr">
        <is>
          <t>BEV</t>
        </is>
      </c>
      <c r="F72" s="2" t="inlineStr">
        <is>
          <t>SUV</t>
        </is>
      </c>
      <c r="G72" s="2" t="inlineStr">
        <is>
          <t>Hyundai</t>
        </is>
      </c>
      <c r="H72" s="2" t="inlineStr">
        <is>
          <t>North</t>
        </is>
      </c>
      <c r="I72" s="2" t="inlineStr">
        <is>
          <t>Delhi</t>
        </is>
      </c>
      <c r="J72" s="2" t="n">
        <v>4282</v>
      </c>
      <c r="K72" s="2" t="n">
        <v>3464</v>
      </c>
      <c r="L72" s="3" t="n">
        <v>5014967068</v>
      </c>
      <c r="M72" s="3" t="n">
        <v>4056946736</v>
      </c>
      <c r="N72" s="4">
        <f>IF(J72=0,0,K72/J72)</f>
        <v/>
      </c>
      <c r="O72" s="2" t="n">
        <v>46</v>
      </c>
      <c r="P72" s="2" t="n">
        <v>374</v>
      </c>
      <c r="Q72" s="5" t="inlineStr">
        <is>
          <t>No</t>
        </is>
      </c>
    </row>
    <row r="73">
      <c r="A73" s="6" t="inlineStr">
        <is>
          <t>EV0072</t>
        </is>
      </c>
      <c r="B73" s="6" t="inlineStr">
        <is>
          <t>March</t>
        </is>
      </c>
      <c r="C73" s="6" t="n">
        <v>2024</v>
      </c>
      <c r="D73" s="6" t="inlineStr">
        <is>
          <t>Q1</t>
        </is>
      </c>
      <c r="E73" s="6" t="inlineStr">
        <is>
          <t>PHEV</t>
        </is>
      </c>
      <c r="F73" s="6" t="inlineStr">
        <is>
          <t>Passenger Car</t>
        </is>
      </c>
      <c r="G73" s="6" t="inlineStr">
        <is>
          <t>Hero Electric</t>
        </is>
      </c>
      <c r="H73" s="6" t="inlineStr">
        <is>
          <t>South</t>
        </is>
      </c>
      <c r="I73" s="6" t="inlineStr">
        <is>
          <t>Karnataka</t>
        </is>
      </c>
      <c r="J73" s="6" t="n">
        <v>3605</v>
      </c>
      <c r="K73" s="6" t="n">
        <v>3125</v>
      </c>
      <c r="L73" s="7" t="n">
        <v>6662656455</v>
      </c>
      <c r="M73" s="7" t="n">
        <v>5775534375</v>
      </c>
      <c r="N73" s="8">
        <f>IF(J73=0,0,K73/J73)</f>
        <v/>
      </c>
      <c r="O73" s="6" t="n">
        <v>111</v>
      </c>
      <c r="P73" s="6" t="n">
        <v>66</v>
      </c>
      <c r="Q73" s="5" t="inlineStr">
        <is>
          <t>No</t>
        </is>
      </c>
    </row>
    <row r="74">
      <c r="A74" s="2" t="inlineStr">
        <is>
          <t>EV0073</t>
        </is>
      </c>
      <c r="B74" s="2" t="inlineStr">
        <is>
          <t>March</t>
        </is>
      </c>
      <c r="C74" s="2" t="n">
        <v>2024</v>
      </c>
      <c r="D74" s="2" t="inlineStr">
        <is>
          <t>Q1</t>
        </is>
      </c>
      <c r="E74" s="2" t="inlineStr">
        <is>
          <t>PHEV</t>
        </is>
      </c>
      <c r="F74" s="2" t="inlineStr">
        <is>
          <t>2-Wheeler</t>
        </is>
      </c>
      <c r="G74" s="2" t="inlineStr">
        <is>
          <t>TVS Motor</t>
        </is>
      </c>
      <c r="H74" s="2" t="inlineStr">
        <is>
          <t>East</t>
        </is>
      </c>
      <c r="I74" s="2" t="inlineStr">
        <is>
          <t>West Bengal</t>
        </is>
      </c>
      <c r="J74" s="2" t="n">
        <v>926</v>
      </c>
      <c r="K74" s="2" t="n">
        <v>1203</v>
      </c>
      <c r="L74" s="3" t="n">
        <v>1433299840</v>
      </c>
      <c r="M74" s="3" t="n">
        <v>1862051520</v>
      </c>
      <c r="N74" s="4">
        <f>IF(J74=0,0,K74/J74)</f>
        <v/>
      </c>
      <c r="O74" s="2" t="n">
        <v>88</v>
      </c>
      <c r="P74" s="2" t="n">
        <v>64</v>
      </c>
      <c r="Q74" s="9" t="inlineStr">
        <is>
          <t>Yes</t>
        </is>
      </c>
    </row>
    <row r="75">
      <c r="A75" s="6" t="inlineStr">
        <is>
          <t>EV0074</t>
        </is>
      </c>
      <c r="B75" s="6" t="inlineStr">
        <is>
          <t>March</t>
        </is>
      </c>
      <c r="C75" s="6" t="n">
        <v>2024</v>
      </c>
      <c r="D75" s="6" t="inlineStr">
        <is>
          <t>Q1</t>
        </is>
      </c>
      <c r="E75" s="6" t="inlineStr">
        <is>
          <t>HEV</t>
        </is>
      </c>
      <c r="F75" s="6" t="inlineStr">
        <is>
          <t>2-Wheeler</t>
        </is>
      </c>
      <c r="G75" s="6" t="inlineStr">
        <is>
          <t>Tata Motors</t>
        </is>
      </c>
      <c r="H75" s="6" t="inlineStr">
        <is>
          <t>West</t>
        </is>
      </c>
      <c r="I75" s="6" t="inlineStr">
        <is>
          <t>Maharashtra</t>
        </is>
      </c>
      <c r="J75" s="6" t="n">
        <v>2525</v>
      </c>
      <c r="K75" s="6" t="n">
        <v>2069</v>
      </c>
      <c r="L75" s="7" t="n">
        <v>417834475</v>
      </c>
      <c r="M75" s="7" t="n">
        <v>342376051</v>
      </c>
      <c r="N75" s="8">
        <f>IF(J75=0,0,K75/J75)</f>
        <v/>
      </c>
      <c r="O75" s="6" t="n">
        <v>84</v>
      </c>
      <c r="P75" s="6" t="n">
        <v>0</v>
      </c>
      <c r="Q75" s="5" t="inlineStr">
        <is>
          <t>No</t>
        </is>
      </c>
    </row>
    <row r="76">
      <c r="A76" s="2" t="inlineStr">
        <is>
          <t>EV0075</t>
        </is>
      </c>
      <c r="B76" s="2" t="inlineStr">
        <is>
          <t>March</t>
        </is>
      </c>
      <c r="C76" s="2" t="n">
        <v>2024</v>
      </c>
      <c r="D76" s="2" t="inlineStr">
        <is>
          <t>Q1</t>
        </is>
      </c>
      <c r="E76" s="2" t="inlineStr">
        <is>
          <t>BEV</t>
        </is>
      </c>
      <c r="F76" s="2" t="inlineStr">
        <is>
          <t>3-Wheeler</t>
        </is>
      </c>
      <c r="G76" s="2" t="inlineStr">
        <is>
          <t>Revolt Motors</t>
        </is>
      </c>
      <c r="H76" s="2" t="inlineStr">
        <is>
          <t>Central</t>
        </is>
      </c>
      <c r="I76" s="2" t="inlineStr">
        <is>
          <t>Madhya Pradesh</t>
        </is>
      </c>
      <c r="J76" s="2" t="n">
        <v>1437</v>
      </c>
      <c r="K76" s="2" t="n">
        <v>1492</v>
      </c>
      <c r="L76" s="3" t="n">
        <v>1428678333</v>
      </c>
      <c r="M76" s="3" t="n">
        <v>1483359828</v>
      </c>
      <c r="N76" s="4">
        <f>IF(J76=0,0,K76/J76)</f>
        <v/>
      </c>
      <c r="O76" s="2" t="n">
        <v>94</v>
      </c>
      <c r="P76" s="2" t="n">
        <v>418</v>
      </c>
      <c r="Q76" s="9" t="inlineStr">
        <is>
          <t>Yes</t>
        </is>
      </c>
    </row>
    <row r="77">
      <c r="A77" s="6" t="inlineStr">
        <is>
          <t>EV0076</t>
        </is>
      </c>
      <c r="B77" s="6" t="inlineStr">
        <is>
          <t>April</t>
        </is>
      </c>
      <c r="C77" s="6" t="n">
        <v>2024</v>
      </c>
      <c r="D77" s="6" t="inlineStr">
        <is>
          <t>Q2</t>
        </is>
      </c>
      <c r="E77" s="6" t="inlineStr">
        <is>
          <t>PHEV</t>
        </is>
      </c>
      <c r="F77" s="6" t="inlineStr">
        <is>
          <t>3-Wheeler</t>
        </is>
      </c>
      <c r="G77" s="6" t="inlineStr">
        <is>
          <t>Bajaj</t>
        </is>
      </c>
      <c r="H77" s="6" t="inlineStr">
        <is>
          <t>North</t>
        </is>
      </c>
      <c r="I77" s="6" t="inlineStr">
        <is>
          <t>Punjab</t>
        </is>
      </c>
      <c r="J77" s="6" t="n">
        <v>1438</v>
      </c>
      <c r="K77" s="6" t="n">
        <v>1677</v>
      </c>
      <c r="L77" s="7" t="n">
        <v>1102777754</v>
      </c>
      <c r="M77" s="7" t="n">
        <v>1286062791</v>
      </c>
      <c r="N77" s="8">
        <f>IF(J77=0,0,K77/J77)</f>
        <v/>
      </c>
      <c r="O77" s="6" t="n">
        <v>18</v>
      </c>
      <c r="P77" s="6" t="n">
        <v>69</v>
      </c>
      <c r="Q77" s="9" t="inlineStr">
        <is>
          <t>Yes</t>
        </is>
      </c>
    </row>
    <row r="78">
      <c r="A78" s="2" t="inlineStr">
        <is>
          <t>EV0077</t>
        </is>
      </c>
      <c r="B78" s="2" t="inlineStr">
        <is>
          <t>April</t>
        </is>
      </c>
      <c r="C78" s="2" t="n">
        <v>2024</v>
      </c>
      <c r="D78" s="2" t="inlineStr">
        <is>
          <t>Q2</t>
        </is>
      </c>
      <c r="E78" s="2" t="inlineStr">
        <is>
          <t>PHEV</t>
        </is>
      </c>
      <c r="F78" s="2" t="inlineStr">
        <is>
          <t>Commercial</t>
        </is>
      </c>
      <c r="G78" s="2" t="inlineStr">
        <is>
          <t>Mahindra</t>
        </is>
      </c>
      <c r="H78" s="2" t="inlineStr">
        <is>
          <t>South</t>
        </is>
      </c>
      <c r="I78" s="2" t="inlineStr">
        <is>
          <t>Tamil Nadu</t>
        </is>
      </c>
      <c r="J78" s="2" t="n">
        <v>3749</v>
      </c>
      <c r="K78" s="2" t="n">
        <v>4742</v>
      </c>
      <c r="L78" s="3" t="n">
        <v>3418544395</v>
      </c>
      <c r="M78" s="3" t="n">
        <v>4324016410</v>
      </c>
      <c r="N78" s="4">
        <f>IF(J78=0,0,K78/J78)</f>
        <v/>
      </c>
      <c r="O78" s="2" t="n">
        <v>80</v>
      </c>
      <c r="P78" s="2" t="n">
        <v>54</v>
      </c>
      <c r="Q78" s="9" t="inlineStr">
        <is>
          <t>Yes</t>
        </is>
      </c>
    </row>
    <row r="79">
      <c r="A79" s="6" t="inlineStr">
        <is>
          <t>EV0078</t>
        </is>
      </c>
      <c r="B79" s="6" t="inlineStr">
        <is>
          <t>April</t>
        </is>
      </c>
      <c r="C79" s="6" t="n">
        <v>2024</v>
      </c>
      <c r="D79" s="6" t="inlineStr">
        <is>
          <t>Q2</t>
        </is>
      </c>
      <c r="E79" s="6" t="inlineStr">
        <is>
          <t>BEV</t>
        </is>
      </c>
      <c r="F79" s="6" t="inlineStr">
        <is>
          <t>Passenger Car</t>
        </is>
      </c>
      <c r="G79" s="6" t="inlineStr">
        <is>
          <t>Bajaj</t>
        </is>
      </c>
      <c r="H79" s="6" t="inlineStr">
        <is>
          <t>East</t>
        </is>
      </c>
      <c r="I79" s="6" t="inlineStr">
        <is>
          <t>Odisha</t>
        </is>
      </c>
      <c r="J79" s="6" t="n">
        <v>1491</v>
      </c>
      <c r="K79" s="6" t="n">
        <v>1756</v>
      </c>
      <c r="L79" s="7" t="n">
        <v>3658456263</v>
      </c>
      <c r="M79" s="7" t="n">
        <v>4308684908</v>
      </c>
      <c r="N79" s="8">
        <f>IF(J79=0,0,K79/J79)</f>
        <v/>
      </c>
      <c r="O79" s="6" t="n">
        <v>49</v>
      </c>
      <c r="P79" s="6" t="n">
        <v>201</v>
      </c>
      <c r="Q79" s="9" t="inlineStr">
        <is>
          <t>Yes</t>
        </is>
      </c>
    </row>
    <row r="80">
      <c r="A80" s="2" t="inlineStr">
        <is>
          <t>EV0079</t>
        </is>
      </c>
      <c r="B80" s="2" t="inlineStr">
        <is>
          <t>April</t>
        </is>
      </c>
      <c r="C80" s="2" t="n">
        <v>2024</v>
      </c>
      <c r="D80" s="2" t="inlineStr">
        <is>
          <t>Q2</t>
        </is>
      </c>
      <c r="E80" s="2" t="inlineStr">
        <is>
          <t>HEV</t>
        </is>
      </c>
      <c r="F80" s="2" t="inlineStr">
        <is>
          <t>Passenger Car</t>
        </is>
      </c>
      <c r="G80" s="2" t="inlineStr">
        <is>
          <t>MG Motor</t>
        </is>
      </c>
      <c r="H80" s="2" t="inlineStr">
        <is>
          <t>West</t>
        </is>
      </c>
      <c r="I80" s="2" t="inlineStr">
        <is>
          <t>Goa</t>
        </is>
      </c>
      <c r="J80" s="2" t="n">
        <v>4644</v>
      </c>
      <c r="K80" s="2" t="n">
        <v>5055</v>
      </c>
      <c r="L80" s="3" t="n">
        <v>617958504</v>
      </c>
      <c r="M80" s="3" t="n">
        <v>672648630</v>
      </c>
      <c r="N80" s="4">
        <f>IF(J80=0,0,K80/J80)</f>
        <v/>
      </c>
      <c r="O80" s="2" t="n">
        <v>113</v>
      </c>
      <c r="P80" s="2" t="n">
        <v>0</v>
      </c>
      <c r="Q80" s="9" t="inlineStr">
        <is>
          <t>Yes</t>
        </is>
      </c>
    </row>
    <row r="81">
      <c r="A81" s="6" t="inlineStr">
        <is>
          <t>EV0080</t>
        </is>
      </c>
      <c r="B81" s="6" t="inlineStr">
        <is>
          <t>April</t>
        </is>
      </c>
      <c r="C81" s="6" t="n">
        <v>2024</v>
      </c>
      <c r="D81" s="6" t="inlineStr">
        <is>
          <t>Q2</t>
        </is>
      </c>
      <c r="E81" s="6" t="inlineStr">
        <is>
          <t>PHEV</t>
        </is>
      </c>
      <c r="F81" s="6" t="inlineStr">
        <is>
          <t>2-Wheeler</t>
        </is>
      </c>
      <c r="G81" s="6" t="inlineStr">
        <is>
          <t>Mahindra</t>
        </is>
      </c>
      <c r="H81" s="6" t="inlineStr">
        <is>
          <t>Central</t>
        </is>
      </c>
      <c r="I81" s="6" t="inlineStr">
        <is>
          <t>Chhattisgarh</t>
        </is>
      </c>
      <c r="J81" s="6" t="n">
        <v>3467</v>
      </c>
      <c r="K81" s="6" t="n">
        <v>3749</v>
      </c>
      <c r="L81" s="7" t="n">
        <v>6962727562</v>
      </c>
      <c r="M81" s="7" t="n">
        <v>7529064214</v>
      </c>
      <c r="N81" s="8">
        <f>IF(J81=0,0,K81/J81)</f>
        <v/>
      </c>
      <c r="O81" s="6" t="n">
        <v>24</v>
      </c>
      <c r="P81" s="6" t="n">
        <v>95</v>
      </c>
      <c r="Q81" s="9" t="inlineStr">
        <is>
          <t>Yes</t>
        </is>
      </c>
    </row>
    <row r="82">
      <c r="A82" s="2" t="inlineStr">
        <is>
          <t>EV0081</t>
        </is>
      </c>
      <c r="B82" s="2" t="inlineStr">
        <is>
          <t>May</t>
        </is>
      </c>
      <c r="C82" s="2" t="n">
        <v>2024</v>
      </c>
      <c r="D82" s="2" t="inlineStr">
        <is>
          <t>Q2</t>
        </is>
      </c>
      <c r="E82" s="2" t="inlineStr">
        <is>
          <t>BEV</t>
        </is>
      </c>
      <c r="F82" s="2" t="inlineStr">
        <is>
          <t>Commercial</t>
        </is>
      </c>
      <c r="G82" s="2" t="inlineStr">
        <is>
          <t>Ather Energy</t>
        </is>
      </c>
      <c r="H82" s="2" t="inlineStr">
        <is>
          <t>North</t>
        </is>
      </c>
      <c r="I82" s="2" t="inlineStr">
        <is>
          <t>Uttar Pradesh</t>
        </is>
      </c>
      <c r="J82" s="2" t="n">
        <v>4908</v>
      </c>
      <c r="K82" s="2" t="n">
        <v>5716</v>
      </c>
      <c r="L82" s="3" t="n">
        <v>9962361468</v>
      </c>
      <c r="M82" s="3" t="n">
        <v>11602456836</v>
      </c>
      <c r="N82" s="4">
        <f>IF(J82=0,0,K82/J82)</f>
        <v/>
      </c>
      <c r="O82" s="2" t="n">
        <v>110</v>
      </c>
      <c r="P82" s="2" t="n">
        <v>403</v>
      </c>
      <c r="Q82" s="9" t="inlineStr">
        <is>
          <t>Yes</t>
        </is>
      </c>
    </row>
    <row r="83">
      <c r="A83" s="6" t="inlineStr">
        <is>
          <t>EV0082</t>
        </is>
      </c>
      <c r="B83" s="6" t="inlineStr">
        <is>
          <t>May</t>
        </is>
      </c>
      <c r="C83" s="6" t="n">
        <v>2024</v>
      </c>
      <c r="D83" s="6" t="inlineStr">
        <is>
          <t>Q2</t>
        </is>
      </c>
      <c r="E83" s="6" t="inlineStr">
        <is>
          <t>PHEV</t>
        </is>
      </c>
      <c r="F83" s="6" t="inlineStr">
        <is>
          <t>3-Wheeler</t>
        </is>
      </c>
      <c r="G83" s="6" t="inlineStr">
        <is>
          <t>MG Motor</t>
        </is>
      </c>
      <c r="H83" s="6" t="inlineStr">
        <is>
          <t>South</t>
        </is>
      </c>
      <c r="I83" s="6" t="inlineStr">
        <is>
          <t>Kerala</t>
        </is>
      </c>
      <c r="J83" s="6" t="n">
        <v>2784</v>
      </c>
      <c r="K83" s="6" t="n">
        <v>3421</v>
      </c>
      <c r="L83" s="7" t="n">
        <v>3070298208</v>
      </c>
      <c r="M83" s="7" t="n">
        <v>3772805377</v>
      </c>
      <c r="N83" s="8">
        <f>IF(J83=0,0,K83/J83)</f>
        <v/>
      </c>
      <c r="O83" s="6" t="n">
        <v>64</v>
      </c>
      <c r="P83" s="6" t="n">
        <v>98</v>
      </c>
      <c r="Q83" s="9" t="inlineStr">
        <is>
          <t>Yes</t>
        </is>
      </c>
    </row>
    <row r="84">
      <c r="A84" s="2" t="inlineStr">
        <is>
          <t>EV0083</t>
        </is>
      </c>
      <c r="B84" s="2" t="inlineStr">
        <is>
          <t>May</t>
        </is>
      </c>
      <c r="C84" s="2" t="n">
        <v>2024</v>
      </c>
      <c r="D84" s="2" t="inlineStr">
        <is>
          <t>Q2</t>
        </is>
      </c>
      <c r="E84" s="2" t="inlineStr">
        <is>
          <t>PHEV</t>
        </is>
      </c>
      <c r="F84" s="2" t="inlineStr">
        <is>
          <t>2-Wheeler</t>
        </is>
      </c>
      <c r="G84" s="2" t="inlineStr">
        <is>
          <t>Revolt Motors</t>
        </is>
      </c>
      <c r="H84" s="2" t="inlineStr">
        <is>
          <t>East</t>
        </is>
      </c>
      <c r="I84" s="2" t="inlineStr">
        <is>
          <t>Jharkhand</t>
        </is>
      </c>
      <c r="J84" s="2" t="n">
        <v>3162</v>
      </c>
      <c r="K84" s="2" t="n">
        <v>2558</v>
      </c>
      <c r="L84" s="3" t="n">
        <v>3066175590</v>
      </c>
      <c r="M84" s="3" t="n">
        <v>2480479810</v>
      </c>
      <c r="N84" s="4">
        <f>IF(J84=0,0,K84/J84)</f>
        <v/>
      </c>
      <c r="O84" s="2" t="n">
        <v>107</v>
      </c>
      <c r="P84" s="2" t="n">
        <v>72</v>
      </c>
      <c r="Q84" s="5" t="inlineStr">
        <is>
          <t>No</t>
        </is>
      </c>
    </row>
    <row r="85">
      <c r="A85" s="6" t="inlineStr">
        <is>
          <t>EV0084</t>
        </is>
      </c>
      <c r="B85" s="6" t="inlineStr">
        <is>
          <t>May</t>
        </is>
      </c>
      <c r="C85" s="6" t="n">
        <v>2024</v>
      </c>
      <c r="D85" s="6" t="inlineStr">
        <is>
          <t>Q2</t>
        </is>
      </c>
      <c r="E85" s="6" t="inlineStr">
        <is>
          <t>PHEV</t>
        </is>
      </c>
      <c r="F85" s="6" t="inlineStr">
        <is>
          <t>Passenger Car</t>
        </is>
      </c>
      <c r="G85" s="6" t="inlineStr">
        <is>
          <t>Bajaj</t>
        </is>
      </c>
      <c r="H85" s="6" t="inlineStr">
        <is>
          <t>West</t>
        </is>
      </c>
      <c r="I85" s="6" t="inlineStr">
        <is>
          <t>Rajasthan</t>
        </is>
      </c>
      <c r="J85" s="6" t="n">
        <v>2763</v>
      </c>
      <c r="K85" s="6" t="n">
        <v>2855</v>
      </c>
      <c r="L85" s="7" t="n">
        <v>6208159833</v>
      </c>
      <c r="M85" s="7" t="n">
        <v>6414873805</v>
      </c>
      <c r="N85" s="8">
        <f>IF(J85=0,0,K85/J85)</f>
        <v/>
      </c>
      <c r="O85" s="6" t="n">
        <v>15</v>
      </c>
      <c r="P85" s="6" t="n">
        <v>62</v>
      </c>
      <c r="Q85" s="9" t="inlineStr">
        <is>
          <t>Yes</t>
        </is>
      </c>
    </row>
    <row r="86">
      <c r="A86" s="2" t="inlineStr">
        <is>
          <t>EV0085</t>
        </is>
      </c>
      <c r="B86" s="2" t="inlineStr">
        <is>
          <t>May</t>
        </is>
      </c>
      <c r="C86" s="2" t="n">
        <v>2024</v>
      </c>
      <c r="D86" s="2" t="inlineStr">
        <is>
          <t>Q2</t>
        </is>
      </c>
      <c r="E86" s="2" t="inlineStr">
        <is>
          <t>HEV</t>
        </is>
      </c>
      <c r="F86" s="2" t="inlineStr">
        <is>
          <t>SUV</t>
        </is>
      </c>
      <c r="G86" s="2" t="inlineStr">
        <is>
          <t>Revolt Motors</t>
        </is>
      </c>
      <c r="H86" s="2" t="inlineStr">
        <is>
          <t>Central</t>
        </is>
      </c>
      <c r="I86" s="2" t="inlineStr">
        <is>
          <t>Madhya Pradesh</t>
        </is>
      </c>
      <c r="J86" s="2" t="n">
        <v>2468</v>
      </c>
      <c r="K86" s="2" t="n">
        <v>2750</v>
      </c>
      <c r="L86" s="3" t="n">
        <v>5278195604</v>
      </c>
      <c r="M86" s="3" t="n">
        <v>5881295750</v>
      </c>
      <c r="N86" s="4">
        <f>IF(J86=0,0,K86/J86)</f>
        <v/>
      </c>
      <c r="O86" s="2" t="n">
        <v>62</v>
      </c>
      <c r="P86" s="2" t="n">
        <v>0</v>
      </c>
      <c r="Q86" s="9" t="inlineStr">
        <is>
          <t>Yes</t>
        </is>
      </c>
    </row>
    <row r="87">
      <c r="A87" s="6" t="inlineStr">
        <is>
          <t>EV0086</t>
        </is>
      </c>
      <c r="B87" s="6" t="inlineStr">
        <is>
          <t>June</t>
        </is>
      </c>
      <c r="C87" s="6" t="n">
        <v>2024</v>
      </c>
      <c r="D87" s="6" t="inlineStr">
        <is>
          <t>Q2</t>
        </is>
      </c>
      <c r="E87" s="6" t="inlineStr">
        <is>
          <t>BEV</t>
        </is>
      </c>
      <c r="F87" s="6" t="inlineStr">
        <is>
          <t>Passenger Car</t>
        </is>
      </c>
      <c r="G87" s="6" t="inlineStr">
        <is>
          <t>Ola Electric</t>
        </is>
      </c>
      <c r="H87" s="6" t="inlineStr">
        <is>
          <t>North</t>
        </is>
      </c>
      <c r="I87" s="6" t="inlineStr">
        <is>
          <t>Delhi</t>
        </is>
      </c>
      <c r="J87" s="6" t="n">
        <v>3812</v>
      </c>
      <c r="K87" s="6" t="n">
        <v>4250</v>
      </c>
      <c r="L87" s="7" t="n">
        <v>5200791652</v>
      </c>
      <c r="M87" s="7" t="n">
        <v>5798364250</v>
      </c>
      <c r="N87" s="8">
        <f>IF(J87=0,0,K87/J87)</f>
        <v/>
      </c>
      <c r="O87" s="6" t="n">
        <v>65</v>
      </c>
      <c r="P87" s="6" t="n">
        <v>368</v>
      </c>
      <c r="Q87" s="9" t="inlineStr">
        <is>
          <t>Yes</t>
        </is>
      </c>
    </row>
    <row r="88">
      <c r="A88" s="2" t="inlineStr">
        <is>
          <t>EV0087</t>
        </is>
      </c>
      <c r="B88" s="2" t="inlineStr">
        <is>
          <t>June</t>
        </is>
      </c>
      <c r="C88" s="2" t="n">
        <v>2024</v>
      </c>
      <c r="D88" s="2" t="inlineStr">
        <is>
          <t>Q2</t>
        </is>
      </c>
      <c r="E88" s="2" t="inlineStr">
        <is>
          <t>PHEV</t>
        </is>
      </c>
      <c r="F88" s="2" t="inlineStr">
        <is>
          <t>Commercial</t>
        </is>
      </c>
      <c r="G88" s="2" t="inlineStr">
        <is>
          <t>Hero Electric</t>
        </is>
      </c>
      <c r="H88" s="2" t="inlineStr">
        <is>
          <t>South</t>
        </is>
      </c>
      <c r="I88" s="2" t="inlineStr">
        <is>
          <t>Kerala</t>
        </is>
      </c>
      <c r="J88" s="2" t="n">
        <v>3382</v>
      </c>
      <c r="K88" s="2" t="n">
        <v>3793</v>
      </c>
      <c r="L88" s="3" t="n">
        <v>4113543510</v>
      </c>
      <c r="M88" s="3" t="n">
        <v>4613444865</v>
      </c>
      <c r="N88" s="4">
        <f>IF(J88=0,0,K88/J88)</f>
        <v/>
      </c>
      <c r="O88" s="2" t="n">
        <v>37</v>
      </c>
      <c r="P88" s="2" t="n">
        <v>69</v>
      </c>
      <c r="Q88" s="9" t="inlineStr">
        <is>
          <t>Yes</t>
        </is>
      </c>
    </row>
    <row r="89">
      <c r="A89" s="6" t="inlineStr">
        <is>
          <t>EV0088</t>
        </is>
      </c>
      <c r="B89" s="6" t="inlineStr">
        <is>
          <t>June</t>
        </is>
      </c>
      <c r="C89" s="6" t="n">
        <v>2024</v>
      </c>
      <c r="D89" s="6" t="inlineStr">
        <is>
          <t>Q2</t>
        </is>
      </c>
      <c r="E89" s="6" t="inlineStr">
        <is>
          <t>BEV</t>
        </is>
      </c>
      <c r="F89" s="6" t="inlineStr">
        <is>
          <t>3-Wheeler</t>
        </is>
      </c>
      <c r="G89" s="6" t="inlineStr">
        <is>
          <t>Hero Electric</t>
        </is>
      </c>
      <c r="H89" s="6" t="inlineStr">
        <is>
          <t>East</t>
        </is>
      </c>
      <c r="I89" s="6" t="inlineStr">
        <is>
          <t>Odisha</t>
        </is>
      </c>
      <c r="J89" s="6" t="n">
        <v>1479</v>
      </c>
      <c r="K89" s="6" t="n">
        <v>1694</v>
      </c>
      <c r="L89" s="7" t="n">
        <v>1266872946</v>
      </c>
      <c r="M89" s="7" t="n">
        <v>1451036356</v>
      </c>
      <c r="N89" s="8">
        <f>IF(J89=0,0,K89/J89)</f>
        <v/>
      </c>
      <c r="O89" s="6" t="n">
        <v>32</v>
      </c>
      <c r="P89" s="6" t="n">
        <v>278</v>
      </c>
      <c r="Q89" s="9" t="inlineStr">
        <is>
          <t>Yes</t>
        </is>
      </c>
    </row>
    <row r="90">
      <c r="A90" s="2" t="inlineStr">
        <is>
          <t>EV0089</t>
        </is>
      </c>
      <c r="B90" s="2" t="inlineStr">
        <is>
          <t>June</t>
        </is>
      </c>
      <c r="C90" s="2" t="n">
        <v>2024</v>
      </c>
      <c r="D90" s="2" t="inlineStr">
        <is>
          <t>Q2</t>
        </is>
      </c>
      <c r="E90" s="2" t="inlineStr">
        <is>
          <t>PHEV</t>
        </is>
      </c>
      <c r="F90" s="2" t="inlineStr">
        <is>
          <t>Commercial</t>
        </is>
      </c>
      <c r="G90" s="2" t="inlineStr">
        <is>
          <t>TVS Motor</t>
        </is>
      </c>
      <c r="H90" s="2" t="inlineStr">
        <is>
          <t>West</t>
        </is>
      </c>
      <c r="I90" s="2" t="inlineStr">
        <is>
          <t>Goa</t>
        </is>
      </c>
      <c r="J90" s="2" t="n">
        <v>2818</v>
      </c>
      <c r="K90" s="2" t="n">
        <v>3630</v>
      </c>
      <c r="L90" s="3" t="n">
        <v>2519821784</v>
      </c>
      <c r="M90" s="3" t="n">
        <v>3245902440</v>
      </c>
      <c r="N90" s="4">
        <f>IF(J90=0,0,K90/J90)</f>
        <v/>
      </c>
      <c r="O90" s="2" t="n">
        <v>34</v>
      </c>
      <c r="P90" s="2" t="n">
        <v>68</v>
      </c>
      <c r="Q90" s="9" t="inlineStr">
        <is>
          <t>Yes</t>
        </is>
      </c>
    </row>
    <row r="91">
      <c r="A91" s="6" t="inlineStr">
        <is>
          <t>EV0090</t>
        </is>
      </c>
      <c r="B91" s="6" t="inlineStr">
        <is>
          <t>June</t>
        </is>
      </c>
      <c r="C91" s="6" t="n">
        <v>2024</v>
      </c>
      <c r="D91" s="6" t="inlineStr">
        <is>
          <t>Q2</t>
        </is>
      </c>
      <c r="E91" s="6" t="inlineStr">
        <is>
          <t>BEV</t>
        </is>
      </c>
      <c r="F91" s="6" t="inlineStr">
        <is>
          <t>Passenger Car</t>
        </is>
      </c>
      <c r="G91" s="6" t="inlineStr">
        <is>
          <t>Tata Motors</t>
        </is>
      </c>
      <c r="H91" s="6" t="inlineStr">
        <is>
          <t>Central</t>
        </is>
      </c>
      <c r="I91" s="6" t="inlineStr">
        <is>
          <t>Chhattisgarh</t>
        </is>
      </c>
      <c r="J91" s="6" t="n">
        <v>4875</v>
      </c>
      <c r="K91" s="6" t="n">
        <v>3782</v>
      </c>
      <c r="L91" s="7" t="n">
        <v>1320666750</v>
      </c>
      <c r="M91" s="7" t="n">
        <v>1024566492</v>
      </c>
      <c r="N91" s="8">
        <f>IF(J91=0,0,K91/J91)</f>
        <v/>
      </c>
      <c r="O91" s="6" t="n">
        <v>75</v>
      </c>
      <c r="P91" s="6" t="n">
        <v>207</v>
      </c>
      <c r="Q91" s="5" t="inlineStr">
        <is>
          <t>No</t>
        </is>
      </c>
    </row>
    <row r="92">
      <c r="A92" s="2" t="inlineStr">
        <is>
          <t>EV0091</t>
        </is>
      </c>
      <c r="B92" s="2" t="inlineStr">
        <is>
          <t>July</t>
        </is>
      </c>
      <c r="C92" s="2" t="n">
        <v>2024</v>
      </c>
      <c r="D92" s="2" t="inlineStr">
        <is>
          <t>Q3</t>
        </is>
      </c>
      <c r="E92" s="2" t="inlineStr">
        <is>
          <t>HEV</t>
        </is>
      </c>
      <c r="F92" s="2" t="inlineStr">
        <is>
          <t>3-Wheeler</t>
        </is>
      </c>
      <c r="G92" s="2" t="inlineStr">
        <is>
          <t>Revolt Motors</t>
        </is>
      </c>
      <c r="H92" s="2" t="inlineStr">
        <is>
          <t>North</t>
        </is>
      </c>
      <c r="I92" s="2" t="inlineStr">
        <is>
          <t>Punjab</t>
        </is>
      </c>
      <c r="J92" s="2" t="n">
        <v>1340</v>
      </c>
      <c r="K92" s="2" t="n">
        <v>1639</v>
      </c>
      <c r="L92" s="3" t="n">
        <v>3333650660</v>
      </c>
      <c r="M92" s="3" t="n">
        <v>4077502561</v>
      </c>
      <c r="N92" s="4">
        <f>IF(J92=0,0,K92/J92)</f>
        <v/>
      </c>
      <c r="O92" s="2" t="n">
        <v>41</v>
      </c>
      <c r="P92" s="2" t="n">
        <v>0</v>
      </c>
      <c r="Q92" s="9" t="inlineStr">
        <is>
          <t>Yes</t>
        </is>
      </c>
    </row>
    <row r="93">
      <c r="A93" s="6" t="inlineStr">
        <is>
          <t>EV0092</t>
        </is>
      </c>
      <c r="B93" s="6" t="inlineStr">
        <is>
          <t>July</t>
        </is>
      </c>
      <c r="C93" s="6" t="n">
        <v>2024</v>
      </c>
      <c r="D93" s="6" t="inlineStr">
        <is>
          <t>Q3</t>
        </is>
      </c>
      <c r="E93" s="6" t="inlineStr">
        <is>
          <t>PHEV</t>
        </is>
      </c>
      <c r="F93" s="6" t="inlineStr">
        <is>
          <t>SUV</t>
        </is>
      </c>
      <c r="G93" s="6" t="inlineStr">
        <is>
          <t>Hero Electric</t>
        </is>
      </c>
      <c r="H93" s="6" t="inlineStr">
        <is>
          <t>South</t>
        </is>
      </c>
      <c r="I93" s="6" t="inlineStr">
        <is>
          <t>Telangana</t>
        </is>
      </c>
      <c r="J93" s="6" t="n">
        <v>2010</v>
      </c>
      <c r="K93" s="6" t="n">
        <v>2571</v>
      </c>
      <c r="L93" s="7" t="n">
        <v>2289331710</v>
      </c>
      <c r="M93" s="7" t="n">
        <v>2928294441</v>
      </c>
      <c r="N93" s="8">
        <f>IF(J93=0,0,K93/J93)</f>
        <v/>
      </c>
      <c r="O93" s="6" t="n">
        <v>19</v>
      </c>
      <c r="P93" s="6" t="n">
        <v>80</v>
      </c>
      <c r="Q93" s="9" t="inlineStr">
        <is>
          <t>Yes</t>
        </is>
      </c>
    </row>
    <row r="94">
      <c r="A94" s="2" t="inlineStr">
        <is>
          <t>EV0093</t>
        </is>
      </c>
      <c r="B94" s="2" t="inlineStr">
        <is>
          <t>July</t>
        </is>
      </c>
      <c r="C94" s="2" t="n">
        <v>2024</v>
      </c>
      <c r="D94" s="2" t="inlineStr">
        <is>
          <t>Q3</t>
        </is>
      </c>
      <c r="E94" s="2" t="inlineStr">
        <is>
          <t>PHEV</t>
        </is>
      </c>
      <c r="F94" s="2" t="inlineStr">
        <is>
          <t>SUV</t>
        </is>
      </c>
      <c r="G94" s="2" t="inlineStr">
        <is>
          <t>MG Motor</t>
        </is>
      </c>
      <c r="H94" s="2" t="inlineStr">
        <is>
          <t>East</t>
        </is>
      </c>
      <c r="I94" s="2" t="inlineStr">
        <is>
          <t>West Bengal</t>
        </is>
      </c>
      <c r="J94" s="2" t="n">
        <v>939</v>
      </c>
      <c r="K94" s="2" t="n">
        <v>742</v>
      </c>
      <c r="L94" s="3" t="n">
        <v>2291836080</v>
      </c>
      <c r="M94" s="3" t="n">
        <v>1811014240</v>
      </c>
      <c r="N94" s="4">
        <f>IF(J94=0,0,K94/J94)</f>
        <v/>
      </c>
      <c r="O94" s="2" t="n">
        <v>15</v>
      </c>
      <c r="P94" s="2" t="n">
        <v>69</v>
      </c>
      <c r="Q94" s="5" t="inlineStr">
        <is>
          <t>No</t>
        </is>
      </c>
    </row>
    <row r="95">
      <c r="A95" s="6" t="inlineStr">
        <is>
          <t>EV0094</t>
        </is>
      </c>
      <c r="B95" s="6" t="inlineStr">
        <is>
          <t>July</t>
        </is>
      </c>
      <c r="C95" s="6" t="n">
        <v>2024</v>
      </c>
      <c r="D95" s="6" t="inlineStr">
        <is>
          <t>Q3</t>
        </is>
      </c>
      <c r="E95" s="6" t="inlineStr">
        <is>
          <t>BEV</t>
        </is>
      </c>
      <c r="F95" s="6" t="inlineStr">
        <is>
          <t>Commercial</t>
        </is>
      </c>
      <c r="G95" s="6" t="inlineStr">
        <is>
          <t>Mahindra</t>
        </is>
      </c>
      <c r="H95" s="6" t="inlineStr">
        <is>
          <t>West</t>
        </is>
      </c>
      <c r="I95" s="6" t="inlineStr">
        <is>
          <t>Gujarat</t>
        </is>
      </c>
      <c r="J95" s="6" t="n">
        <v>2348</v>
      </c>
      <c r="K95" s="6" t="n">
        <v>2736</v>
      </c>
      <c r="L95" s="7" t="n">
        <v>3933888508</v>
      </c>
      <c r="M95" s="7" t="n">
        <v>4583951856</v>
      </c>
      <c r="N95" s="8">
        <f>IF(J95=0,0,K95/J95)</f>
        <v/>
      </c>
      <c r="O95" s="6" t="n">
        <v>61</v>
      </c>
      <c r="P95" s="6" t="n">
        <v>410</v>
      </c>
      <c r="Q95" s="9" t="inlineStr">
        <is>
          <t>Yes</t>
        </is>
      </c>
    </row>
    <row r="96">
      <c r="A96" s="2" t="inlineStr">
        <is>
          <t>EV0095</t>
        </is>
      </c>
      <c r="B96" s="2" t="inlineStr">
        <is>
          <t>July</t>
        </is>
      </c>
      <c r="C96" s="2" t="n">
        <v>2024</v>
      </c>
      <c r="D96" s="2" t="inlineStr">
        <is>
          <t>Q3</t>
        </is>
      </c>
      <c r="E96" s="2" t="inlineStr">
        <is>
          <t>HEV</t>
        </is>
      </c>
      <c r="F96" s="2" t="inlineStr">
        <is>
          <t>SUV</t>
        </is>
      </c>
      <c r="G96" s="2" t="inlineStr">
        <is>
          <t>Ather Energy</t>
        </is>
      </c>
      <c r="H96" s="2" t="inlineStr">
        <is>
          <t>Central</t>
        </is>
      </c>
      <c r="I96" s="2" t="inlineStr">
        <is>
          <t>Chhattisgarh</t>
        </is>
      </c>
      <c r="J96" s="2" t="n">
        <v>993</v>
      </c>
      <c r="K96" s="2" t="n">
        <v>1058</v>
      </c>
      <c r="L96" s="3" t="n">
        <v>492741495</v>
      </c>
      <c r="M96" s="3" t="n">
        <v>524995470</v>
      </c>
      <c r="N96" s="4">
        <f>IF(J96=0,0,K96/J96)</f>
        <v/>
      </c>
      <c r="O96" s="2" t="n">
        <v>102</v>
      </c>
      <c r="P96" s="2" t="n">
        <v>0</v>
      </c>
      <c r="Q96" s="9" t="inlineStr">
        <is>
          <t>Yes</t>
        </is>
      </c>
    </row>
    <row r="97">
      <c r="A97" s="6" t="inlineStr">
        <is>
          <t>EV0096</t>
        </is>
      </c>
      <c r="B97" s="6" t="inlineStr">
        <is>
          <t>August</t>
        </is>
      </c>
      <c r="C97" s="6" t="n">
        <v>2024</v>
      </c>
      <c r="D97" s="6" t="inlineStr">
        <is>
          <t>Q3</t>
        </is>
      </c>
      <c r="E97" s="6" t="inlineStr">
        <is>
          <t>HEV</t>
        </is>
      </c>
      <c r="F97" s="6" t="inlineStr">
        <is>
          <t>3-Wheeler</t>
        </is>
      </c>
      <c r="G97" s="6" t="inlineStr">
        <is>
          <t>Ather Energy</t>
        </is>
      </c>
      <c r="H97" s="6" t="inlineStr">
        <is>
          <t>North</t>
        </is>
      </c>
      <c r="I97" s="6" t="inlineStr">
        <is>
          <t>Haryana</t>
        </is>
      </c>
      <c r="J97" s="6" t="n">
        <v>1165</v>
      </c>
      <c r="K97" s="6" t="n">
        <v>925</v>
      </c>
      <c r="L97" s="7" t="n">
        <v>942515290</v>
      </c>
      <c r="M97" s="7" t="n">
        <v>748349050</v>
      </c>
      <c r="N97" s="8">
        <f>IF(J97=0,0,K97/J97)</f>
        <v/>
      </c>
      <c r="O97" s="6" t="n">
        <v>75</v>
      </c>
      <c r="P97" s="6" t="n">
        <v>0</v>
      </c>
      <c r="Q97" s="5" t="inlineStr">
        <is>
          <t>No</t>
        </is>
      </c>
    </row>
    <row r="98">
      <c r="A98" s="2" t="inlineStr">
        <is>
          <t>EV0097</t>
        </is>
      </c>
      <c r="B98" s="2" t="inlineStr">
        <is>
          <t>August</t>
        </is>
      </c>
      <c r="C98" s="2" t="n">
        <v>2024</v>
      </c>
      <c r="D98" s="2" t="inlineStr">
        <is>
          <t>Q3</t>
        </is>
      </c>
      <c r="E98" s="2" t="inlineStr">
        <is>
          <t>BEV</t>
        </is>
      </c>
      <c r="F98" s="2" t="inlineStr">
        <is>
          <t>2-Wheeler</t>
        </is>
      </c>
      <c r="G98" s="2" t="inlineStr">
        <is>
          <t>Mahindra</t>
        </is>
      </c>
      <c r="H98" s="2" t="inlineStr">
        <is>
          <t>South</t>
        </is>
      </c>
      <c r="I98" s="2" t="inlineStr">
        <is>
          <t>Tamil Nadu</t>
        </is>
      </c>
      <c r="J98" s="2" t="n">
        <v>4190</v>
      </c>
      <c r="K98" s="2" t="n">
        <v>4666</v>
      </c>
      <c r="L98" s="3" t="n">
        <v>8593501450</v>
      </c>
      <c r="M98" s="3" t="n">
        <v>9569756030</v>
      </c>
      <c r="N98" s="4">
        <f>IF(J98=0,0,K98/J98)</f>
        <v/>
      </c>
      <c r="O98" s="2" t="n">
        <v>9</v>
      </c>
      <c r="P98" s="2" t="n">
        <v>329</v>
      </c>
      <c r="Q98" s="9" t="inlineStr">
        <is>
          <t>Yes</t>
        </is>
      </c>
    </row>
    <row r="99">
      <c r="A99" s="6" t="inlineStr">
        <is>
          <t>EV0098</t>
        </is>
      </c>
      <c r="B99" s="6" t="inlineStr">
        <is>
          <t>August</t>
        </is>
      </c>
      <c r="C99" s="6" t="n">
        <v>2024</v>
      </c>
      <c r="D99" s="6" t="inlineStr">
        <is>
          <t>Q3</t>
        </is>
      </c>
      <c r="E99" s="6" t="inlineStr">
        <is>
          <t>PHEV</t>
        </is>
      </c>
      <c r="F99" s="6" t="inlineStr">
        <is>
          <t>Passenger Car</t>
        </is>
      </c>
      <c r="G99" s="6" t="inlineStr">
        <is>
          <t>Revolt Motors</t>
        </is>
      </c>
      <c r="H99" s="6" t="inlineStr">
        <is>
          <t>East</t>
        </is>
      </c>
      <c r="I99" s="6" t="inlineStr">
        <is>
          <t>Odisha</t>
        </is>
      </c>
      <c r="J99" s="6" t="n">
        <v>1083</v>
      </c>
      <c r="K99" s="6" t="n">
        <v>1204</v>
      </c>
      <c r="L99" s="7" t="n">
        <v>1288360626</v>
      </c>
      <c r="M99" s="7" t="n">
        <v>1432304888</v>
      </c>
      <c r="N99" s="8">
        <f>IF(J99=0,0,K99/J99)</f>
        <v/>
      </c>
      <c r="O99" s="6" t="n">
        <v>106</v>
      </c>
      <c r="P99" s="6" t="n">
        <v>100</v>
      </c>
      <c r="Q99" s="9" t="inlineStr">
        <is>
          <t>Yes</t>
        </is>
      </c>
    </row>
    <row r="100">
      <c r="A100" s="2" t="inlineStr">
        <is>
          <t>EV0099</t>
        </is>
      </c>
      <c r="B100" s="2" t="inlineStr">
        <is>
          <t>August</t>
        </is>
      </c>
      <c r="C100" s="2" t="n">
        <v>2024</v>
      </c>
      <c r="D100" s="2" t="inlineStr">
        <is>
          <t>Q3</t>
        </is>
      </c>
      <c r="E100" s="2" t="inlineStr">
        <is>
          <t>PHEV</t>
        </is>
      </c>
      <c r="F100" s="2" t="inlineStr">
        <is>
          <t>2-Wheeler</t>
        </is>
      </c>
      <c r="G100" s="2" t="inlineStr">
        <is>
          <t>TVS Motor</t>
        </is>
      </c>
      <c r="H100" s="2" t="inlineStr">
        <is>
          <t>West</t>
        </is>
      </c>
      <c r="I100" s="2" t="inlineStr">
        <is>
          <t>Gujarat</t>
        </is>
      </c>
      <c r="J100" s="2" t="n">
        <v>2341</v>
      </c>
      <c r="K100" s="2" t="n">
        <v>2548</v>
      </c>
      <c r="L100" s="3" t="n">
        <v>2795488763</v>
      </c>
      <c r="M100" s="3" t="n">
        <v>3042676364</v>
      </c>
      <c r="N100" s="4">
        <f>IF(J100=0,0,K100/J100)</f>
        <v/>
      </c>
      <c r="O100" s="2" t="n">
        <v>14</v>
      </c>
      <c r="P100" s="2" t="n">
        <v>59</v>
      </c>
      <c r="Q100" s="9" t="inlineStr">
        <is>
          <t>Yes</t>
        </is>
      </c>
    </row>
    <row r="101">
      <c r="A101" s="6" t="inlineStr">
        <is>
          <t>EV0100</t>
        </is>
      </c>
      <c r="B101" s="6" t="inlineStr">
        <is>
          <t>August</t>
        </is>
      </c>
      <c r="C101" s="6" t="n">
        <v>2024</v>
      </c>
      <c r="D101" s="6" t="inlineStr">
        <is>
          <t>Q3</t>
        </is>
      </c>
      <c r="E101" s="6" t="inlineStr">
        <is>
          <t>BEV</t>
        </is>
      </c>
      <c r="F101" s="6" t="inlineStr">
        <is>
          <t>Passenger Car</t>
        </is>
      </c>
      <c r="G101" s="6" t="inlineStr">
        <is>
          <t>Bajaj</t>
        </is>
      </c>
      <c r="H101" s="6" t="inlineStr">
        <is>
          <t>Central</t>
        </is>
      </c>
      <c r="I101" s="6" t="inlineStr">
        <is>
          <t>Madhya Pradesh</t>
        </is>
      </c>
      <c r="J101" s="6" t="n">
        <v>2864</v>
      </c>
      <c r="K101" s="6" t="n">
        <v>2759</v>
      </c>
      <c r="L101" s="7" t="n">
        <v>5859345904</v>
      </c>
      <c r="M101" s="7" t="n">
        <v>5644530499</v>
      </c>
      <c r="N101" s="8">
        <f>IF(J101=0,0,K101/J101)</f>
        <v/>
      </c>
      <c r="O101" s="6" t="n">
        <v>94</v>
      </c>
      <c r="P101" s="6" t="n">
        <v>335</v>
      </c>
      <c r="Q101" s="5" t="inlineStr">
        <is>
          <t>No</t>
        </is>
      </c>
    </row>
    <row r="102">
      <c r="A102" s="2" t="inlineStr">
        <is>
          <t>EV0101</t>
        </is>
      </c>
      <c r="B102" s="2" t="inlineStr">
        <is>
          <t>September</t>
        </is>
      </c>
      <c r="C102" s="2" t="n">
        <v>2024</v>
      </c>
      <c r="D102" s="2" t="inlineStr">
        <is>
          <t>Q3</t>
        </is>
      </c>
      <c r="E102" s="2" t="inlineStr">
        <is>
          <t>PHEV</t>
        </is>
      </c>
      <c r="F102" s="2" t="inlineStr">
        <is>
          <t>Commercial</t>
        </is>
      </c>
      <c r="G102" s="2" t="inlineStr">
        <is>
          <t>TVS Motor</t>
        </is>
      </c>
      <c r="H102" s="2" t="inlineStr">
        <is>
          <t>North</t>
        </is>
      </c>
      <c r="I102" s="2" t="inlineStr">
        <is>
          <t>Uttar Pradesh</t>
        </is>
      </c>
      <c r="J102" s="2" t="n">
        <v>4545</v>
      </c>
      <c r="K102" s="2" t="n">
        <v>4375</v>
      </c>
      <c r="L102" s="3" t="n">
        <v>1123469460</v>
      </c>
      <c r="M102" s="3" t="n">
        <v>1081447500</v>
      </c>
      <c r="N102" s="4">
        <f>IF(J102=0,0,K102/J102)</f>
        <v/>
      </c>
      <c r="O102" s="2" t="n">
        <v>99</v>
      </c>
      <c r="P102" s="2" t="n">
        <v>77</v>
      </c>
      <c r="Q102" s="5" t="inlineStr">
        <is>
          <t>No</t>
        </is>
      </c>
    </row>
    <row r="103">
      <c r="A103" s="6" t="inlineStr">
        <is>
          <t>EV0102</t>
        </is>
      </c>
      <c r="B103" s="6" t="inlineStr">
        <is>
          <t>September</t>
        </is>
      </c>
      <c r="C103" s="6" t="n">
        <v>2024</v>
      </c>
      <c r="D103" s="6" t="inlineStr">
        <is>
          <t>Q3</t>
        </is>
      </c>
      <c r="E103" s="6" t="inlineStr">
        <is>
          <t>HEV</t>
        </is>
      </c>
      <c r="F103" s="6" t="inlineStr">
        <is>
          <t>Passenger Car</t>
        </is>
      </c>
      <c r="G103" s="6" t="inlineStr">
        <is>
          <t>Tata Motors</t>
        </is>
      </c>
      <c r="H103" s="6" t="inlineStr">
        <is>
          <t>South</t>
        </is>
      </c>
      <c r="I103" s="6" t="inlineStr">
        <is>
          <t>Kerala</t>
        </is>
      </c>
      <c r="J103" s="6" t="n">
        <v>1248</v>
      </c>
      <c r="K103" s="6" t="n">
        <v>1045</v>
      </c>
      <c r="L103" s="7" t="n">
        <v>3110713632</v>
      </c>
      <c r="M103" s="7" t="n">
        <v>2604724155</v>
      </c>
      <c r="N103" s="8">
        <f>IF(J103=0,0,K103/J103)</f>
        <v/>
      </c>
      <c r="O103" s="6" t="n">
        <v>80</v>
      </c>
      <c r="P103" s="6" t="n">
        <v>0</v>
      </c>
      <c r="Q103" s="5" t="inlineStr">
        <is>
          <t>No</t>
        </is>
      </c>
    </row>
    <row r="104">
      <c r="A104" s="2" t="inlineStr">
        <is>
          <t>EV0103</t>
        </is>
      </c>
      <c r="B104" s="2" t="inlineStr">
        <is>
          <t>September</t>
        </is>
      </c>
      <c r="C104" s="2" t="n">
        <v>2024</v>
      </c>
      <c r="D104" s="2" t="inlineStr">
        <is>
          <t>Q3</t>
        </is>
      </c>
      <c r="E104" s="2" t="inlineStr">
        <is>
          <t>HEV</t>
        </is>
      </c>
      <c r="F104" s="2" t="inlineStr">
        <is>
          <t>Passenger Car</t>
        </is>
      </c>
      <c r="G104" s="2" t="inlineStr">
        <is>
          <t>Bajaj</t>
        </is>
      </c>
      <c r="H104" s="2" t="inlineStr">
        <is>
          <t>East</t>
        </is>
      </c>
      <c r="I104" s="2" t="inlineStr">
        <is>
          <t>West Bengal</t>
        </is>
      </c>
      <c r="J104" s="2" t="n">
        <v>829</v>
      </c>
      <c r="K104" s="2" t="n">
        <v>959</v>
      </c>
      <c r="L104" s="3" t="n">
        <v>675471687</v>
      </c>
      <c r="M104" s="3" t="n">
        <v>781396077</v>
      </c>
      <c r="N104" s="4">
        <f>IF(J104=0,0,K104/J104)</f>
        <v/>
      </c>
      <c r="O104" s="2" t="n">
        <v>65</v>
      </c>
      <c r="P104" s="2" t="n">
        <v>0</v>
      </c>
      <c r="Q104" s="9" t="inlineStr">
        <is>
          <t>Yes</t>
        </is>
      </c>
    </row>
    <row r="105">
      <c r="A105" s="6" t="inlineStr">
        <is>
          <t>EV0104</t>
        </is>
      </c>
      <c r="B105" s="6" t="inlineStr">
        <is>
          <t>September</t>
        </is>
      </c>
      <c r="C105" s="6" t="n">
        <v>2024</v>
      </c>
      <c r="D105" s="6" t="inlineStr">
        <is>
          <t>Q3</t>
        </is>
      </c>
      <c r="E105" s="6" t="inlineStr">
        <is>
          <t>PHEV</t>
        </is>
      </c>
      <c r="F105" s="6" t="inlineStr">
        <is>
          <t>3-Wheeler</t>
        </is>
      </c>
      <c r="G105" s="6" t="inlineStr">
        <is>
          <t>Bajaj</t>
        </is>
      </c>
      <c r="H105" s="6" t="inlineStr">
        <is>
          <t>West</t>
        </is>
      </c>
      <c r="I105" s="6" t="inlineStr">
        <is>
          <t>Goa</t>
        </is>
      </c>
      <c r="J105" s="6" t="n">
        <v>4070</v>
      </c>
      <c r="K105" s="6" t="n">
        <v>4399</v>
      </c>
      <c r="L105" s="7" t="n">
        <v>8719759290</v>
      </c>
      <c r="M105" s="7" t="n">
        <v>9424624353</v>
      </c>
      <c r="N105" s="8">
        <f>IF(J105=0,0,K105/J105)</f>
        <v/>
      </c>
      <c r="O105" s="6" t="n">
        <v>65</v>
      </c>
      <c r="P105" s="6" t="n">
        <v>55</v>
      </c>
      <c r="Q105" s="9" t="inlineStr">
        <is>
          <t>Yes</t>
        </is>
      </c>
    </row>
    <row r="106">
      <c r="A106" s="2" t="inlineStr">
        <is>
          <t>EV0105</t>
        </is>
      </c>
      <c r="B106" s="2" t="inlineStr">
        <is>
          <t>September</t>
        </is>
      </c>
      <c r="C106" s="2" t="n">
        <v>2024</v>
      </c>
      <c r="D106" s="2" t="inlineStr">
        <is>
          <t>Q3</t>
        </is>
      </c>
      <c r="E106" s="2" t="inlineStr">
        <is>
          <t>PHEV</t>
        </is>
      </c>
      <c r="F106" s="2" t="inlineStr">
        <is>
          <t>Passenger Car</t>
        </is>
      </c>
      <c r="G106" s="2" t="inlineStr">
        <is>
          <t>Hero Electric</t>
        </is>
      </c>
      <c r="H106" s="2" t="inlineStr">
        <is>
          <t>Central</t>
        </is>
      </c>
      <c r="I106" s="2" t="inlineStr">
        <is>
          <t>Chhattisgarh</t>
        </is>
      </c>
      <c r="J106" s="2" t="n">
        <v>1356</v>
      </c>
      <c r="K106" s="2" t="n">
        <v>1647</v>
      </c>
      <c r="L106" s="3" t="n">
        <v>1984229376</v>
      </c>
      <c r="M106" s="3" t="n">
        <v>2410048512</v>
      </c>
      <c r="N106" s="4">
        <f>IF(J106=0,0,K106/J106)</f>
        <v/>
      </c>
      <c r="O106" s="2" t="n">
        <v>93</v>
      </c>
      <c r="P106" s="2" t="n">
        <v>76</v>
      </c>
      <c r="Q106" s="9" t="inlineStr">
        <is>
          <t>Yes</t>
        </is>
      </c>
    </row>
    <row r="107">
      <c r="A107" s="6" t="inlineStr">
        <is>
          <t>EV0106</t>
        </is>
      </c>
      <c r="B107" s="6" t="inlineStr">
        <is>
          <t>October</t>
        </is>
      </c>
      <c r="C107" s="6" t="n">
        <v>2024</v>
      </c>
      <c r="D107" s="6" t="inlineStr">
        <is>
          <t>Q4</t>
        </is>
      </c>
      <c r="E107" s="6" t="inlineStr">
        <is>
          <t>PHEV</t>
        </is>
      </c>
      <c r="F107" s="6" t="inlineStr">
        <is>
          <t>SUV</t>
        </is>
      </c>
      <c r="G107" s="6" t="inlineStr">
        <is>
          <t>TVS Motor</t>
        </is>
      </c>
      <c r="H107" s="6" t="inlineStr">
        <is>
          <t>North</t>
        </is>
      </c>
      <c r="I107" s="6" t="inlineStr">
        <is>
          <t>Uttar Pradesh</t>
        </is>
      </c>
      <c r="J107" s="6" t="n">
        <v>800</v>
      </c>
      <c r="K107" s="6" t="n">
        <v>778</v>
      </c>
      <c r="L107" s="7" t="n">
        <v>1119344000</v>
      </c>
      <c r="M107" s="7" t="n">
        <v>1088562040</v>
      </c>
      <c r="N107" s="8">
        <f>IF(J107=0,0,K107/J107)</f>
        <v/>
      </c>
      <c r="O107" s="6" t="n">
        <v>46</v>
      </c>
      <c r="P107" s="6" t="n">
        <v>66</v>
      </c>
      <c r="Q107" s="5" t="inlineStr">
        <is>
          <t>No</t>
        </is>
      </c>
    </row>
    <row r="108">
      <c r="A108" s="2" t="inlineStr">
        <is>
          <t>EV0107</t>
        </is>
      </c>
      <c r="B108" s="2" t="inlineStr">
        <is>
          <t>October</t>
        </is>
      </c>
      <c r="C108" s="2" t="n">
        <v>2024</v>
      </c>
      <c r="D108" s="2" t="inlineStr">
        <is>
          <t>Q4</t>
        </is>
      </c>
      <c r="E108" s="2" t="inlineStr">
        <is>
          <t>PHEV</t>
        </is>
      </c>
      <c r="F108" s="2" t="inlineStr">
        <is>
          <t>Commercial</t>
        </is>
      </c>
      <c r="G108" s="2" t="inlineStr">
        <is>
          <t>Tata Motors</t>
        </is>
      </c>
      <c r="H108" s="2" t="inlineStr">
        <is>
          <t>South</t>
        </is>
      </c>
      <c r="I108" s="2" t="inlineStr">
        <is>
          <t>Tamil Nadu</t>
        </is>
      </c>
      <c r="J108" s="2" t="n">
        <v>4944</v>
      </c>
      <c r="K108" s="2" t="n">
        <v>4831</v>
      </c>
      <c r="L108" s="3" t="n">
        <v>1519528512</v>
      </c>
      <c r="M108" s="3" t="n">
        <v>1484798188</v>
      </c>
      <c r="N108" s="4">
        <f>IF(J108=0,0,K108/J108)</f>
        <v/>
      </c>
      <c r="O108" s="2" t="n">
        <v>71</v>
      </c>
      <c r="P108" s="2" t="n">
        <v>62</v>
      </c>
      <c r="Q108" s="5" t="inlineStr">
        <is>
          <t>No</t>
        </is>
      </c>
    </row>
    <row r="109">
      <c r="A109" s="6" t="inlineStr">
        <is>
          <t>EV0108</t>
        </is>
      </c>
      <c r="B109" s="6" t="inlineStr">
        <is>
          <t>October</t>
        </is>
      </c>
      <c r="C109" s="6" t="n">
        <v>2024</v>
      </c>
      <c r="D109" s="6" t="inlineStr">
        <is>
          <t>Q4</t>
        </is>
      </c>
      <c r="E109" s="6" t="inlineStr">
        <is>
          <t>HEV</t>
        </is>
      </c>
      <c r="F109" s="6" t="inlineStr">
        <is>
          <t>SUV</t>
        </is>
      </c>
      <c r="G109" s="6" t="inlineStr">
        <is>
          <t>Revolt Motors</t>
        </is>
      </c>
      <c r="H109" s="6" t="inlineStr">
        <is>
          <t>East</t>
        </is>
      </c>
      <c r="I109" s="6" t="inlineStr">
        <is>
          <t>Bihar</t>
        </is>
      </c>
      <c r="J109" s="6" t="n">
        <v>922</v>
      </c>
      <c r="K109" s="6" t="n">
        <v>758</v>
      </c>
      <c r="L109" s="7" t="n">
        <v>2197673668</v>
      </c>
      <c r="M109" s="7" t="n">
        <v>1806764252</v>
      </c>
      <c r="N109" s="8">
        <f>IF(J109=0,0,K109/J109)</f>
        <v/>
      </c>
      <c r="O109" s="6" t="n">
        <v>21</v>
      </c>
      <c r="P109" s="6" t="n">
        <v>0</v>
      </c>
      <c r="Q109" s="5" t="inlineStr">
        <is>
          <t>No</t>
        </is>
      </c>
    </row>
    <row r="110">
      <c r="A110" s="2" t="inlineStr">
        <is>
          <t>EV0109</t>
        </is>
      </c>
      <c r="B110" s="2" t="inlineStr">
        <is>
          <t>October</t>
        </is>
      </c>
      <c r="C110" s="2" t="n">
        <v>2024</v>
      </c>
      <c r="D110" s="2" t="inlineStr">
        <is>
          <t>Q4</t>
        </is>
      </c>
      <c r="E110" s="2" t="inlineStr">
        <is>
          <t>PHEV</t>
        </is>
      </c>
      <c r="F110" s="2" t="inlineStr">
        <is>
          <t>SUV</t>
        </is>
      </c>
      <c r="G110" s="2" t="inlineStr">
        <is>
          <t>MG Motor</t>
        </is>
      </c>
      <c r="H110" s="2" t="inlineStr">
        <is>
          <t>West</t>
        </is>
      </c>
      <c r="I110" s="2" t="inlineStr">
        <is>
          <t>Rajasthan</t>
        </is>
      </c>
      <c r="J110" s="2" t="n">
        <v>736</v>
      </c>
      <c r="K110" s="2" t="n">
        <v>944</v>
      </c>
      <c r="L110" s="3" t="n">
        <v>797592896</v>
      </c>
      <c r="M110" s="3" t="n">
        <v>1022999584</v>
      </c>
      <c r="N110" s="4">
        <f>IF(J110=0,0,K110/J110)</f>
        <v/>
      </c>
      <c r="O110" s="2" t="n">
        <v>25</v>
      </c>
      <c r="P110" s="2" t="n">
        <v>95</v>
      </c>
      <c r="Q110" s="9" t="inlineStr">
        <is>
          <t>Yes</t>
        </is>
      </c>
    </row>
    <row r="111">
      <c r="A111" s="6" t="inlineStr">
        <is>
          <t>EV0110</t>
        </is>
      </c>
      <c r="B111" s="6" t="inlineStr">
        <is>
          <t>October</t>
        </is>
      </c>
      <c r="C111" s="6" t="n">
        <v>2024</v>
      </c>
      <c r="D111" s="6" t="inlineStr">
        <is>
          <t>Q4</t>
        </is>
      </c>
      <c r="E111" s="6" t="inlineStr">
        <is>
          <t>HEV</t>
        </is>
      </c>
      <c r="F111" s="6" t="inlineStr">
        <is>
          <t>2-Wheeler</t>
        </is>
      </c>
      <c r="G111" s="6" t="inlineStr">
        <is>
          <t>TVS Motor</t>
        </is>
      </c>
      <c r="H111" s="6" t="inlineStr">
        <is>
          <t>Central</t>
        </is>
      </c>
      <c r="I111" s="6" t="inlineStr">
        <is>
          <t>Chhattisgarh</t>
        </is>
      </c>
      <c r="J111" s="6" t="n">
        <v>3842</v>
      </c>
      <c r="K111" s="6" t="n">
        <v>2904</v>
      </c>
      <c r="L111" s="7" t="n">
        <v>2135729380</v>
      </c>
      <c r="M111" s="7" t="n">
        <v>1614304560</v>
      </c>
      <c r="N111" s="8">
        <f>IF(J111=0,0,K111/J111)</f>
        <v/>
      </c>
      <c r="O111" s="6" t="n">
        <v>64</v>
      </c>
      <c r="P111" s="6" t="n">
        <v>0</v>
      </c>
      <c r="Q111" s="5" t="inlineStr">
        <is>
          <t>No</t>
        </is>
      </c>
    </row>
    <row r="112">
      <c r="A112" s="2" t="inlineStr">
        <is>
          <t>EV0111</t>
        </is>
      </c>
      <c r="B112" s="2" t="inlineStr">
        <is>
          <t>November</t>
        </is>
      </c>
      <c r="C112" s="2" t="n">
        <v>2024</v>
      </c>
      <c r="D112" s="2" t="inlineStr">
        <is>
          <t>Q4</t>
        </is>
      </c>
      <c r="E112" s="2" t="inlineStr">
        <is>
          <t>HEV</t>
        </is>
      </c>
      <c r="F112" s="2" t="inlineStr">
        <is>
          <t>3-Wheeler</t>
        </is>
      </c>
      <c r="G112" s="2" t="inlineStr">
        <is>
          <t>Revolt Motors</t>
        </is>
      </c>
      <c r="H112" s="2" t="inlineStr">
        <is>
          <t>North</t>
        </is>
      </c>
      <c r="I112" s="2" t="inlineStr">
        <is>
          <t>Delhi</t>
        </is>
      </c>
      <c r="J112" s="2" t="n">
        <v>2890</v>
      </c>
      <c r="K112" s="2" t="n">
        <v>2905</v>
      </c>
      <c r="L112" s="3" t="n">
        <v>3545530030</v>
      </c>
      <c r="M112" s="3" t="n">
        <v>3563932435</v>
      </c>
      <c r="N112" s="4">
        <f>IF(J112=0,0,K112/J112)</f>
        <v/>
      </c>
      <c r="O112" s="2" t="n">
        <v>58</v>
      </c>
      <c r="P112" s="2" t="n">
        <v>0</v>
      </c>
      <c r="Q112" s="9" t="inlineStr">
        <is>
          <t>Yes</t>
        </is>
      </c>
    </row>
    <row r="113">
      <c r="A113" s="6" t="inlineStr">
        <is>
          <t>EV0112</t>
        </is>
      </c>
      <c r="B113" s="6" t="inlineStr">
        <is>
          <t>November</t>
        </is>
      </c>
      <c r="C113" s="6" t="n">
        <v>2024</v>
      </c>
      <c r="D113" s="6" t="inlineStr">
        <is>
          <t>Q4</t>
        </is>
      </c>
      <c r="E113" s="6" t="inlineStr">
        <is>
          <t>PHEV</t>
        </is>
      </c>
      <c r="F113" s="6" t="inlineStr">
        <is>
          <t>3-Wheeler</t>
        </is>
      </c>
      <c r="G113" s="6" t="inlineStr">
        <is>
          <t>Revolt Motors</t>
        </is>
      </c>
      <c r="H113" s="6" t="inlineStr">
        <is>
          <t>South</t>
        </is>
      </c>
      <c r="I113" s="6" t="inlineStr">
        <is>
          <t>Telangana</t>
        </is>
      </c>
      <c r="J113" s="6" t="n">
        <v>1684</v>
      </c>
      <c r="K113" s="6" t="n">
        <v>1566</v>
      </c>
      <c r="L113" s="7" t="n">
        <v>3724529744</v>
      </c>
      <c r="M113" s="7" t="n">
        <v>3463547256</v>
      </c>
      <c r="N113" s="8">
        <f>IF(J113=0,0,K113/J113)</f>
        <v/>
      </c>
      <c r="O113" s="6" t="n">
        <v>117</v>
      </c>
      <c r="P113" s="6" t="n">
        <v>97</v>
      </c>
      <c r="Q113" s="5" t="inlineStr">
        <is>
          <t>No</t>
        </is>
      </c>
    </row>
    <row r="114">
      <c r="A114" s="2" t="inlineStr">
        <is>
          <t>EV0113</t>
        </is>
      </c>
      <c r="B114" s="2" t="inlineStr">
        <is>
          <t>November</t>
        </is>
      </c>
      <c r="C114" s="2" t="n">
        <v>2024</v>
      </c>
      <c r="D114" s="2" t="inlineStr">
        <is>
          <t>Q4</t>
        </is>
      </c>
      <c r="E114" s="2" t="inlineStr">
        <is>
          <t>BEV</t>
        </is>
      </c>
      <c r="F114" s="2" t="inlineStr">
        <is>
          <t>Passenger Car</t>
        </is>
      </c>
      <c r="G114" s="2" t="inlineStr">
        <is>
          <t>Mahindra</t>
        </is>
      </c>
      <c r="H114" s="2" t="inlineStr">
        <is>
          <t>East</t>
        </is>
      </c>
      <c r="I114" s="2" t="inlineStr">
        <is>
          <t>Odisha</t>
        </is>
      </c>
      <c r="J114" s="2" t="n">
        <v>3284</v>
      </c>
      <c r="K114" s="2" t="n">
        <v>4139</v>
      </c>
      <c r="L114" s="3" t="n">
        <v>7256346104</v>
      </c>
      <c r="M114" s="3" t="n">
        <v>9145559234</v>
      </c>
      <c r="N114" s="4">
        <f>IF(J114=0,0,K114/J114)</f>
        <v/>
      </c>
      <c r="O114" s="2" t="n">
        <v>110</v>
      </c>
      <c r="P114" s="2" t="n">
        <v>316</v>
      </c>
      <c r="Q114" s="9" t="inlineStr">
        <is>
          <t>Yes</t>
        </is>
      </c>
    </row>
    <row r="115">
      <c r="A115" s="6" t="inlineStr">
        <is>
          <t>EV0114</t>
        </is>
      </c>
      <c r="B115" s="6" t="inlineStr">
        <is>
          <t>November</t>
        </is>
      </c>
      <c r="C115" s="6" t="n">
        <v>2024</v>
      </c>
      <c r="D115" s="6" t="inlineStr">
        <is>
          <t>Q4</t>
        </is>
      </c>
      <c r="E115" s="6" t="inlineStr">
        <is>
          <t>PHEV</t>
        </is>
      </c>
      <c r="F115" s="6" t="inlineStr">
        <is>
          <t>Passenger Car</t>
        </is>
      </c>
      <c r="G115" s="6" t="inlineStr">
        <is>
          <t>Bajaj</t>
        </is>
      </c>
      <c r="H115" s="6" t="inlineStr">
        <is>
          <t>West</t>
        </is>
      </c>
      <c r="I115" s="6" t="inlineStr">
        <is>
          <t>Maharashtra</t>
        </is>
      </c>
      <c r="J115" s="6" t="n">
        <v>4511</v>
      </c>
      <c r="K115" s="6" t="n">
        <v>5499</v>
      </c>
      <c r="L115" s="7" t="n">
        <v>8809780005</v>
      </c>
      <c r="M115" s="7" t="n">
        <v>10739299545</v>
      </c>
      <c r="N115" s="8">
        <f>IF(J115=0,0,K115/J115)</f>
        <v/>
      </c>
      <c r="O115" s="6" t="n">
        <v>66</v>
      </c>
      <c r="P115" s="6" t="n">
        <v>84</v>
      </c>
      <c r="Q115" s="9" t="inlineStr">
        <is>
          <t>Yes</t>
        </is>
      </c>
    </row>
    <row r="116">
      <c r="A116" s="2" t="inlineStr">
        <is>
          <t>EV0115</t>
        </is>
      </c>
      <c r="B116" s="2" t="inlineStr">
        <is>
          <t>November</t>
        </is>
      </c>
      <c r="C116" s="2" t="n">
        <v>2024</v>
      </c>
      <c r="D116" s="2" t="inlineStr">
        <is>
          <t>Q4</t>
        </is>
      </c>
      <c r="E116" s="2" t="inlineStr">
        <is>
          <t>PHEV</t>
        </is>
      </c>
      <c r="F116" s="2" t="inlineStr">
        <is>
          <t>Commercial</t>
        </is>
      </c>
      <c r="G116" s="2" t="inlineStr">
        <is>
          <t>TVS Motor</t>
        </is>
      </c>
      <c r="H116" s="2" t="inlineStr">
        <is>
          <t>Central</t>
        </is>
      </c>
      <c r="I116" s="2" t="inlineStr">
        <is>
          <t>Chhattisgarh</t>
        </is>
      </c>
      <c r="J116" s="2" t="n">
        <v>3590</v>
      </c>
      <c r="K116" s="2" t="n">
        <v>3493</v>
      </c>
      <c r="L116" s="3" t="n">
        <v>5132378880</v>
      </c>
      <c r="M116" s="3" t="n">
        <v>4993704576</v>
      </c>
      <c r="N116" s="4">
        <f>IF(J116=0,0,K116/J116)</f>
        <v/>
      </c>
      <c r="O116" s="2" t="n">
        <v>94</v>
      </c>
      <c r="P116" s="2" t="n">
        <v>62</v>
      </c>
      <c r="Q116" s="5" t="inlineStr">
        <is>
          <t>No</t>
        </is>
      </c>
    </row>
    <row r="117">
      <c r="A117" s="6" t="inlineStr">
        <is>
          <t>EV0116</t>
        </is>
      </c>
      <c r="B117" s="6" t="inlineStr">
        <is>
          <t>December</t>
        </is>
      </c>
      <c r="C117" s="6" t="n">
        <v>2024</v>
      </c>
      <c r="D117" s="6" t="inlineStr">
        <is>
          <t>Q4</t>
        </is>
      </c>
      <c r="E117" s="6" t="inlineStr">
        <is>
          <t>HEV</t>
        </is>
      </c>
      <c r="F117" s="6" t="inlineStr">
        <is>
          <t>SUV</t>
        </is>
      </c>
      <c r="G117" s="6" t="inlineStr">
        <is>
          <t>Ola Electric</t>
        </is>
      </c>
      <c r="H117" s="6" t="inlineStr">
        <is>
          <t>North</t>
        </is>
      </c>
      <c r="I117" s="6" t="inlineStr">
        <is>
          <t>Haryana</t>
        </is>
      </c>
      <c r="J117" s="6" t="n">
        <v>3865</v>
      </c>
      <c r="K117" s="6" t="n">
        <v>2806</v>
      </c>
      <c r="L117" s="7" t="n">
        <v>7976610190</v>
      </c>
      <c r="M117" s="7" t="n">
        <v>5791039636</v>
      </c>
      <c r="N117" s="8">
        <f>IF(J117=0,0,K117/J117)</f>
        <v/>
      </c>
      <c r="O117" s="6" t="n">
        <v>95</v>
      </c>
      <c r="P117" s="6" t="n">
        <v>0</v>
      </c>
      <c r="Q117" s="5" t="inlineStr">
        <is>
          <t>No</t>
        </is>
      </c>
    </row>
    <row r="118">
      <c r="A118" s="2" t="inlineStr">
        <is>
          <t>EV0117</t>
        </is>
      </c>
      <c r="B118" s="2" t="inlineStr">
        <is>
          <t>December</t>
        </is>
      </c>
      <c r="C118" s="2" t="n">
        <v>2024</v>
      </c>
      <c r="D118" s="2" t="inlineStr">
        <is>
          <t>Q4</t>
        </is>
      </c>
      <c r="E118" s="2" t="inlineStr">
        <is>
          <t>PHEV</t>
        </is>
      </c>
      <c r="F118" s="2" t="inlineStr">
        <is>
          <t>3-Wheeler</t>
        </is>
      </c>
      <c r="G118" s="2" t="inlineStr">
        <is>
          <t>Revolt Motors</t>
        </is>
      </c>
      <c r="H118" s="2" t="inlineStr">
        <is>
          <t>South</t>
        </is>
      </c>
      <c r="I118" s="2" t="inlineStr">
        <is>
          <t>Telangana</t>
        </is>
      </c>
      <c r="J118" s="2" t="n">
        <v>803</v>
      </c>
      <c r="K118" s="2" t="n">
        <v>622</v>
      </c>
      <c r="L118" s="3" t="n">
        <v>1182406258</v>
      </c>
      <c r="M118" s="3" t="n">
        <v>915886292</v>
      </c>
      <c r="N118" s="4">
        <f>IF(J118=0,0,K118/J118)</f>
        <v/>
      </c>
      <c r="O118" s="2" t="n">
        <v>116</v>
      </c>
      <c r="P118" s="2" t="n">
        <v>56</v>
      </c>
      <c r="Q118" s="5" t="inlineStr">
        <is>
          <t>No</t>
        </is>
      </c>
    </row>
    <row r="119">
      <c r="A119" s="6" t="inlineStr">
        <is>
          <t>EV0118</t>
        </is>
      </c>
      <c r="B119" s="6" t="inlineStr">
        <is>
          <t>December</t>
        </is>
      </c>
      <c r="C119" s="6" t="n">
        <v>2024</v>
      </c>
      <c r="D119" s="6" t="inlineStr">
        <is>
          <t>Q4</t>
        </is>
      </c>
      <c r="E119" s="6" t="inlineStr">
        <is>
          <t>BEV</t>
        </is>
      </c>
      <c r="F119" s="6" t="inlineStr">
        <is>
          <t>Commercial</t>
        </is>
      </c>
      <c r="G119" s="6" t="inlineStr">
        <is>
          <t>Revolt Motors</t>
        </is>
      </c>
      <c r="H119" s="6" t="inlineStr">
        <is>
          <t>East</t>
        </is>
      </c>
      <c r="I119" s="6" t="inlineStr">
        <is>
          <t>Jharkhand</t>
        </is>
      </c>
      <c r="J119" s="6" t="n">
        <v>625</v>
      </c>
      <c r="K119" s="6" t="n">
        <v>708</v>
      </c>
      <c r="L119" s="7" t="n">
        <v>1124733750</v>
      </c>
      <c r="M119" s="7" t="n">
        <v>1274098392</v>
      </c>
      <c r="N119" s="8">
        <f>IF(J119=0,0,K119/J119)</f>
        <v/>
      </c>
      <c r="O119" s="6" t="n">
        <v>14</v>
      </c>
      <c r="P119" s="6" t="n">
        <v>259</v>
      </c>
      <c r="Q119" s="9" t="inlineStr">
        <is>
          <t>Yes</t>
        </is>
      </c>
    </row>
    <row r="120">
      <c r="A120" s="2" t="inlineStr">
        <is>
          <t>EV0119</t>
        </is>
      </c>
      <c r="B120" s="2" t="inlineStr">
        <is>
          <t>December</t>
        </is>
      </c>
      <c r="C120" s="2" t="n">
        <v>2024</v>
      </c>
      <c r="D120" s="2" t="inlineStr">
        <is>
          <t>Q4</t>
        </is>
      </c>
      <c r="E120" s="2" t="inlineStr">
        <is>
          <t>PHEV</t>
        </is>
      </c>
      <c r="F120" s="2" t="inlineStr">
        <is>
          <t>Passenger Car</t>
        </is>
      </c>
      <c r="G120" s="2" t="inlineStr">
        <is>
          <t>Bajaj</t>
        </is>
      </c>
      <c r="H120" s="2" t="inlineStr">
        <is>
          <t>West</t>
        </is>
      </c>
      <c r="I120" s="2" t="inlineStr">
        <is>
          <t>Goa</t>
        </is>
      </c>
      <c r="J120" s="2" t="n">
        <v>3756</v>
      </c>
      <c r="K120" s="2" t="n">
        <v>4093</v>
      </c>
      <c r="L120" s="3" t="n">
        <v>5476634868</v>
      </c>
      <c r="M120" s="3" t="n">
        <v>5968015579</v>
      </c>
      <c r="N120" s="4">
        <f>IF(J120=0,0,K120/J120)</f>
        <v/>
      </c>
      <c r="O120" s="2" t="n">
        <v>114</v>
      </c>
      <c r="P120" s="2" t="n">
        <v>93</v>
      </c>
      <c r="Q120" s="9" t="inlineStr">
        <is>
          <t>Yes</t>
        </is>
      </c>
    </row>
    <row r="121">
      <c r="A121" s="6" t="inlineStr">
        <is>
          <t>EV0120</t>
        </is>
      </c>
      <c r="B121" s="6" t="inlineStr">
        <is>
          <t>December</t>
        </is>
      </c>
      <c r="C121" s="6" t="n">
        <v>2024</v>
      </c>
      <c r="D121" s="6" t="inlineStr">
        <is>
          <t>Q4</t>
        </is>
      </c>
      <c r="E121" s="6" t="inlineStr">
        <is>
          <t>PHEV</t>
        </is>
      </c>
      <c r="F121" s="6" t="inlineStr">
        <is>
          <t>Passenger Car</t>
        </is>
      </c>
      <c r="G121" s="6" t="inlineStr">
        <is>
          <t>Revolt Motors</t>
        </is>
      </c>
      <c r="H121" s="6" t="inlineStr">
        <is>
          <t>Central</t>
        </is>
      </c>
      <c r="I121" s="6" t="inlineStr">
        <is>
          <t>Uttarakhand</t>
        </is>
      </c>
      <c r="J121" s="6" t="n">
        <v>4932</v>
      </c>
      <c r="K121" s="6" t="n">
        <v>3558</v>
      </c>
      <c r="L121" s="7" t="n">
        <v>1809930564</v>
      </c>
      <c r="M121" s="7" t="n">
        <v>1305704166</v>
      </c>
      <c r="N121" s="8">
        <f>IF(J121=0,0,K121/J121)</f>
        <v/>
      </c>
      <c r="O121" s="6" t="n">
        <v>85</v>
      </c>
      <c r="P121" s="6" t="n">
        <v>65</v>
      </c>
      <c r="Q121" s="5" t="inlineStr">
        <is>
          <t>No</t>
        </is>
      </c>
    </row>
    <row r="122">
      <c r="A122" s="2" t="inlineStr">
        <is>
          <t>EV0121</t>
        </is>
      </c>
      <c r="B122" s="2" t="inlineStr">
        <is>
          <t>January</t>
        </is>
      </c>
      <c r="C122" s="2" t="n">
        <v>2025</v>
      </c>
      <c r="D122" s="2" t="inlineStr">
        <is>
          <t>Q1</t>
        </is>
      </c>
      <c r="E122" s="2" t="inlineStr">
        <is>
          <t>BEV</t>
        </is>
      </c>
      <c r="F122" s="2" t="inlineStr">
        <is>
          <t>2-Wheeler</t>
        </is>
      </c>
      <c r="G122" s="2" t="inlineStr">
        <is>
          <t>Mahindra</t>
        </is>
      </c>
      <c r="H122" s="2" t="inlineStr">
        <is>
          <t>North</t>
        </is>
      </c>
      <c r="I122" s="2" t="inlineStr">
        <is>
          <t>Punjab</t>
        </is>
      </c>
      <c r="J122" s="2" t="n">
        <v>1306</v>
      </c>
      <c r="K122" s="2" t="n">
        <v>1510</v>
      </c>
      <c r="L122" s="3" t="n">
        <v>655033442</v>
      </c>
      <c r="M122" s="3" t="n">
        <v>757351070</v>
      </c>
      <c r="N122" s="4">
        <f>IF(J122=0,0,K122/J122)</f>
        <v/>
      </c>
      <c r="O122" s="2" t="n">
        <v>26</v>
      </c>
      <c r="P122" s="2" t="n">
        <v>407</v>
      </c>
      <c r="Q122" s="9" t="inlineStr">
        <is>
          <t>Yes</t>
        </is>
      </c>
    </row>
    <row r="123">
      <c r="A123" s="6" t="inlineStr">
        <is>
          <t>EV0122</t>
        </is>
      </c>
      <c r="B123" s="6" t="inlineStr">
        <is>
          <t>January</t>
        </is>
      </c>
      <c r="C123" s="6" t="n">
        <v>2025</v>
      </c>
      <c r="D123" s="6" t="inlineStr">
        <is>
          <t>Q1</t>
        </is>
      </c>
      <c r="E123" s="6" t="inlineStr">
        <is>
          <t>BEV</t>
        </is>
      </c>
      <c r="F123" s="6" t="inlineStr">
        <is>
          <t>2-Wheeler</t>
        </is>
      </c>
      <c r="G123" s="6" t="inlineStr">
        <is>
          <t>Hero Electric</t>
        </is>
      </c>
      <c r="H123" s="6" t="inlineStr">
        <is>
          <t>South</t>
        </is>
      </c>
      <c r="I123" s="6" t="inlineStr">
        <is>
          <t>Kerala</t>
        </is>
      </c>
      <c r="J123" s="6" t="n">
        <v>959</v>
      </c>
      <c r="K123" s="6" t="n">
        <v>840</v>
      </c>
      <c r="L123" s="7" t="n">
        <v>1584456923</v>
      </c>
      <c r="M123" s="7" t="n">
        <v>1387845480</v>
      </c>
      <c r="N123" s="8">
        <f>IF(J123=0,0,K123/J123)</f>
        <v/>
      </c>
      <c r="O123" s="6" t="n">
        <v>23</v>
      </c>
      <c r="P123" s="6" t="n">
        <v>400</v>
      </c>
      <c r="Q123" s="5" t="inlineStr">
        <is>
          <t>No</t>
        </is>
      </c>
    </row>
    <row r="124">
      <c r="A124" s="2" t="inlineStr">
        <is>
          <t>EV0123</t>
        </is>
      </c>
      <c r="B124" s="2" t="inlineStr">
        <is>
          <t>January</t>
        </is>
      </c>
      <c r="C124" s="2" t="n">
        <v>2025</v>
      </c>
      <c r="D124" s="2" t="inlineStr">
        <is>
          <t>Q1</t>
        </is>
      </c>
      <c r="E124" s="2" t="inlineStr">
        <is>
          <t>HEV</t>
        </is>
      </c>
      <c r="F124" s="2" t="inlineStr">
        <is>
          <t>SUV</t>
        </is>
      </c>
      <c r="G124" s="2" t="inlineStr">
        <is>
          <t>Bajaj</t>
        </is>
      </c>
      <c r="H124" s="2" t="inlineStr">
        <is>
          <t>East</t>
        </is>
      </c>
      <c r="I124" s="2" t="inlineStr">
        <is>
          <t>Odisha</t>
        </is>
      </c>
      <c r="J124" s="2" t="n">
        <v>1975</v>
      </c>
      <c r="K124" s="2" t="n">
        <v>1583</v>
      </c>
      <c r="L124" s="3" t="n">
        <v>812153575</v>
      </c>
      <c r="M124" s="3" t="n">
        <v>650956511</v>
      </c>
      <c r="N124" s="4">
        <f>IF(J124=0,0,K124/J124)</f>
        <v/>
      </c>
      <c r="O124" s="2" t="n">
        <v>83</v>
      </c>
      <c r="P124" s="2" t="n">
        <v>0</v>
      </c>
      <c r="Q124" s="5" t="inlineStr">
        <is>
          <t>No</t>
        </is>
      </c>
    </row>
    <row r="125">
      <c r="A125" s="6" t="inlineStr">
        <is>
          <t>EV0124</t>
        </is>
      </c>
      <c r="B125" s="6" t="inlineStr">
        <is>
          <t>January</t>
        </is>
      </c>
      <c r="C125" s="6" t="n">
        <v>2025</v>
      </c>
      <c r="D125" s="6" t="inlineStr">
        <is>
          <t>Q1</t>
        </is>
      </c>
      <c r="E125" s="6" t="inlineStr">
        <is>
          <t>HEV</t>
        </is>
      </c>
      <c r="F125" s="6" t="inlineStr">
        <is>
          <t>3-Wheeler</t>
        </is>
      </c>
      <c r="G125" s="6" t="inlineStr">
        <is>
          <t>Revolt Motors</t>
        </is>
      </c>
      <c r="H125" s="6" t="inlineStr">
        <is>
          <t>West</t>
        </is>
      </c>
      <c r="I125" s="6" t="inlineStr">
        <is>
          <t>Goa</t>
        </is>
      </c>
      <c r="J125" s="6" t="n">
        <v>1672</v>
      </c>
      <c r="K125" s="6" t="n">
        <v>1403</v>
      </c>
      <c r="L125" s="7" t="n">
        <v>1914871376</v>
      </c>
      <c r="M125" s="7" t="n">
        <v>1606796974</v>
      </c>
      <c r="N125" s="8">
        <f>IF(J125=0,0,K125/J125)</f>
        <v/>
      </c>
      <c r="O125" s="6" t="n">
        <v>63</v>
      </c>
      <c r="P125" s="6" t="n">
        <v>0</v>
      </c>
      <c r="Q125" s="5" t="inlineStr">
        <is>
          <t>No</t>
        </is>
      </c>
    </row>
    <row r="126">
      <c r="A126" s="2" t="inlineStr">
        <is>
          <t>EV0125</t>
        </is>
      </c>
      <c r="B126" s="2" t="inlineStr">
        <is>
          <t>January</t>
        </is>
      </c>
      <c r="C126" s="2" t="n">
        <v>2025</v>
      </c>
      <c r="D126" s="2" t="inlineStr">
        <is>
          <t>Q1</t>
        </is>
      </c>
      <c r="E126" s="2" t="inlineStr">
        <is>
          <t>HEV</t>
        </is>
      </c>
      <c r="F126" s="2" t="inlineStr">
        <is>
          <t>2-Wheeler</t>
        </is>
      </c>
      <c r="G126" s="2" t="inlineStr">
        <is>
          <t>Revolt Motors</t>
        </is>
      </c>
      <c r="H126" s="2" t="inlineStr">
        <is>
          <t>Central</t>
        </is>
      </c>
      <c r="I126" s="2" t="inlineStr">
        <is>
          <t>Chhattisgarh</t>
        </is>
      </c>
      <c r="J126" s="2" t="n">
        <v>2856</v>
      </c>
      <c r="K126" s="2" t="n">
        <v>3160</v>
      </c>
      <c r="L126" s="3" t="n">
        <v>2120857032</v>
      </c>
      <c r="M126" s="3" t="n">
        <v>2346606520</v>
      </c>
      <c r="N126" s="4">
        <f>IF(J126=0,0,K126/J126)</f>
        <v/>
      </c>
      <c r="O126" s="2" t="n">
        <v>14</v>
      </c>
      <c r="P126" s="2" t="n">
        <v>0</v>
      </c>
      <c r="Q126" s="9" t="inlineStr">
        <is>
          <t>Yes</t>
        </is>
      </c>
    </row>
    <row r="127">
      <c r="A127" s="6" t="inlineStr">
        <is>
          <t>EV0126</t>
        </is>
      </c>
      <c r="B127" s="6" t="inlineStr">
        <is>
          <t>February</t>
        </is>
      </c>
      <c r="C127" s="6" t="n">
        <v>2025</v>
      </c>
      <c r="D127" s="6" t="inlineStr">
        <is>
          <t>Q1</t>
        </is>
      </c>
      <c r="E127" s="6" t="inlineStr">
        <is>
          <t>PHEV</t>
        </is>
      </c>
      <c r="F127" s="6" t="inlineStr">
        <is>
          <t>Commercial</t>
        </is>
      </c>
      <c r="G127" s="6" t="inlineStr">
        <is>
          <t>Ather Energy</t>
        </is>
      </c>
      <c r="H127" s="6" t="inlineStr">
        <is>
          <t>North</t>
        </is>
      </c>
      <c r="I127" s="6" t="inlineStr">
        <is>
          <t>Uttar Pradesh</t>
        </is>
      </c>
      <c r="J127" s="6" t="n">
        <v>3975</v>
      </c>
      <c r="K127" s="6" t="n">
        <v>4428</v>
      </c>
      <c r="L127" s="7" t="n">
        <v>7934529300</v>
      </c>
      <c r="M127" s="7" t="n">
        <v>8838766224</v>
      </c>
      <c r="N127" s="8">
        <f>IF(J127=0,0,K127/J127)</f>
        <v/>
      </c>
      <c r="O127" s="6" t="n">
        <v>30</v>
      </c>
      <c r="P127" s="6" t="n">
        <v>69</v>
      </c>
      <c r="Q127" s="9" t="inlineStr">
        <is>
          <t>Yes</t>
        </is>
      </c>
    </row>
    <row r="128">
      <c r="A128" s="2" t="inlineStr">
        <is>
          <t>EV0127</t>
        </is>
      </c>
      <c r="B128" s="2" t="inlineStr">
        <is>
          <t>February</t>
        </is>
      </c>
      <c r="C128" s="2" t="n">
        <v>2025</v>
      </c>
      <c r="D128" s="2" t="inlineStr">
        <is>
          <t>Q1</t>
        </is>
      </c>
      <c r="E128" s="2" t="inlineStr">
        <is>
          <t>PHEV</t>
        </is>
      </c>
      <c r="F128" s="2" t="inlineStr">
        <is>
          <t>2-Wheeler</t>
        </is>
      </c>
      <c r="G128" s="2" t="inlineStr">
        <is>
          <t>Ola Electric</t>
        </is>
      </c>
      <c r="H128" s="2" t="inlineStr">
        <is>
          <t>South</t>
        </is>
      </c>
      <c r="I128" s="2" t="inlineStr">
        <is>
          <t>Telangana</t>
        </is>
      </c>
      <c r="J128" s="2" t="n">
        <v>3624</v>
      </c>
      <c r="K128" s="2" t="n">
        <v>3780</v>
      </c>
      <c r="L128" s="3" t="n">
        <v>9027148440</v>
      </c>
      <c r="M128" s="3" t="n">
        <v>9415734300</v>
      </c>
      <c r="N128" s="4">
        <f>IF(J128=0,0,K128/J128)</f>
        <v/>
      </c>
      <c r="O128" s="2" t="n">
        <v>94</v>
      </c>
      <c r="P128" s="2" t="n">
        <v>68</v>
      </c>
      <c r="Q128" s="9" t="inlineStr">
        <is>
          <t>Yes</t>
        </is>
      </c>
    </row>
    <row r="129">
      <c r="A129" s="6" t="inlineStr">
        <is>
          <t>EV0128</t>
        </is>
      </c>
      <c r="B129" s="6" t="inlineStr">
        <is>
          <t>February</t>
        </is>
      </c>
      <c r="C129" s="6" t="n">
        <v>2025</v>
      </c>
      <c r="D129" s="6" t="inlineStr">
        <is>
          <t>Q1</t>
        </is>
      </c>
      <c r="E129" s="6" t="inlineStr">
        <is>
          <t>BEV</t>
        </is>
      </c>
      <c r="F129" s="6" t="inlineStr">
        <is>
          <t>SUV</t>
        </is>
      </c>
      <c r="G129" s="6" t="inlineStr">
        <is>
          <t>Ather Energy</t>
        </is>
      </c>
      <c r="H129" s="6" t="inlineStr">
        <is>
          <t>East</t>
        </is>
      </c>
      <c r="I129" s="6" t="inlineStr">
        <is>
          <t>Bihar</t>
        </is>
      </c>
      <c r="J129" s="6" t="n">
        <v>566</v>
      </c>
      <c r="K129" s="6" t="n">
        <v>588</v>
      </c>
      <c r="L129" s="7" t="n">
        <v>161709596</v>
      </c>
      <c r="M129" s="7" t="n">
        <v>167995128</v>
      </c>
      <c r="N129" s="8">
        <f>IF(J129=0,0,K129/J129)</f>
        <v/>
      </c>
      <c r="O129" s="6" t="n">
        <v>111</v>
      </c>
      <c r="P129" s="6" t="n">
        <v>434</v>
      </c>
      <c r="Q129" s="9" t="inlineStr">
        <is>
          <t>Yes</t>
        </is>
      </c>
    </row>
    <row r="130">
      <c r="A130" s="2" t="inlineStr">
        <is>
          <t>EV0129</t>
        </is>
      </c>
      <c r="B130" s="2" t="inlineStr">
        <is>
          <t>February</t>
        </is>
      </c>
      <c r="C130" s="2" t="n">
        <v>2025</v>
      </c>
      <c r="D130" s="2" t="inlineStr">
        <is>
          <t>Q1</t>
        </is>
      </c>
      <c r="E130" s="2" t="inlineStr">
        <is>
          <t>BEV</t>
        </is>
      </c>
      <c r="F130" s="2" t="inlineStr">
        <is>
          <t>Commercial</t>
        </is>
      </c>
      <c r="G130" s="2" t="inlineStr">
        <is>
          <t>Hero Electric</t>
        </is>
      </c>
      <c r="H130" s="2" t="inlineStr">
        <is>
          <t>West</t>
        </is>
      </c>
      <c r="I130" s="2" t="inlineStr">
        <is>
          <t>Rajasthan</t>
        </is>
      </c>
      <c r="J130" s="2" t="n">
        <v>2294</v>
      </c>
      <c r="K130" s="2" t="n">
        <v>2482</v>
      </c>
      <c r="L130" s="3" t="n">
        <v>2594981976</v>
      </c>
      <c r="M130" s="3" t="n">
        <v>2807648328</v>
      </c>
      <c r="N130" s="4">
        <f>IF(J130=0,0,K130/J130)</f>
        <v/>
      </c>
      <c r="O130" s="2" t="n">
        <v>85</v>
      </c>
      <c r="P130" s="2" t="n">
        <v>250</v>
      </c>
      <c r="Q130" s="9" t="inlineStr">
        <is>
          <t>Yes</t>
        </is>
      </c>
    </row>
    <row r="131">
      <c r="A131" s="6" t="inlineStr">
        <is>
          <t>EV0130</t>
        </is>
      </c>
      <c r="B131" s="6" t="inlineStr">
        <is>
          <t>February</t>
        </is>
      </c>
      <c r="C131" s="6" t="n">
        <v>2025</v>
      </c>
      <c r="D131" s="6" t="inlineStr">
        <is>
          <t>Q1</t>
        </is>
      </c>
      <c r="E131" s="6" t="inlineStr">
        <is>
          <t>HEV</t>
        </is>
      </c>
      <c r="F131" s="6" t="inlineStr">
        <is>
          <t>2-Wheeler</t>
        </is>
      </c>
      <c r="G131" s="6" t="inlineStr">
        <is>
          <t>Ather Energy</t>
        </is>
      </c>
      <c r="H131" s="6" t="inlineStr">
        <is>
          <t>Central</t>
        </is>
      </c>
      <c r="I131" s="6" t="inlineStr">
        <is>
          <t>Madhya Pradesh</t>
        </is>
      </c>
      <c r="J131" s="6" t="n">
        <v>4111</v>
      </c>
      <c r="K131" s="6" t="n">
        <v>2959</v>
      </c>
      <c r="L131" s="7" t="n">
        <v>6620099518</v>
      </c>
      <c r="M131" s="7" t="n">
        <v>4764990142</v>
      </c>
      <c r="N131" s="8">
        <f>IF(J131=0,0,K131/J131)</f>
        <v/>
      </c>
      <c r="O131" s="6" t="n">
        <v>98</v>
      </c>
      <c r="P131" s="6" t="n">
        <v>0</v>
      </c>
      <c r="Q131" s="5" t="inlineStr">
        <is>
          <t>No</t>
        </is>
      </c>
    </row>
    <row r="132">
      <c r="A132" s="2" t="inlineStr">
        <is>
          <t>EV0131</t>
        </is>
      </c>
      <c r="B132" s="2" t="inlineStr">
        <is>
          <t>March</t>
        </is>
      </c>
      <c r="C132" s="2" t="n">
        <v>2025</v>
      </c>
      <c r="D132" s="2" t="inlineStr">
        <is>
          <t>Q1</t>
        </is>
      </c>
      <c r="E132" s="2" t="inlineStr">
        <is>
          <t>BEV</t>
        </is>
      </c>
      <c r="F132" s="2" t="inlineStr">
        <is>
          <t>Passenger Car</t>
        </is>
      </c>
      <c r="G132" s="2" t="inlineStr">
        <is>
          <t>Hero Electric</t>
        </is>
      </c>
      <c r="H132" s="2" t="inlineStr">
        <is>
          <t>North</t>
        </is>
      </c>
      <c r="I132" s="2" t="inlineStr">
        <is>
          <t>Haryana</t>
        </is>
      </c>
      <c r="J132" s="2" t="n">
        <v>3903</v>
      </c>
      <c r="K132" s="2" t="n">
        <v>3143</v>
      </c>
      <c r="L132" s="3" t="n">
        <v>2475743154</v>
      </c>
      <c r="M132" s="3" t="n">
        <v>1993661474</v>
      </c>
      <c r="N132" s="4">
        <f>IF(J132=0,0,K132/J132)</f>
        <v/>
      </c>
      <c r="O132" s="2" t="n">
        <v>72</v>
      </c>
      <c r="P132" s="2" t="n">
        <v>367</v>
      </c>
      <c r="Q132" s="5" t="inlineStr">
        <is>
          <t>No</t>
        </is>
      </c>
    </row>
    <row r="133">
      <c r="A133" s="6" t="inlineStr">
        <is>
          <t>EV0132</t>
        </is>
      </c>
      <c r="B133" s="6" t="inlineStr">
        <is>
          <t>March</t>
        </is>
      </c>
      <c r="C133" s="6" t="n">
        <v>2025</v>
      </c>
      <c r="D133" s="6" t="inlineStr">
        <is>
          <t>Q1</t>
        </is>
      </c>
      <c r="E133" s="6" t="inlineStr">
        <is>
          <t>BEV</t>
        </is>
      </c>
      <c r="F133" s="6" t="inlineStr">
        <is>
          <t>Passenger Car</t>
        </is>
      </c>
      <c r="G133" s="6" t="inlineStr">
        <is>
          <t>Revolt Motors</t>
        </is>
      </c>
      <c r="H133" s="6" t="inlineStr">
        <is>
          <t>South</t>
        </is>
      </c>
      <c r="I133" s="6" t="inlineStr">
        <is>
          <t>Kerala</t>
        </is>
      </c>
      <c r="J133" s="6" t="n">
        <v>2917</v>
      </c>
      <c r="K133" s="6" t="n">
        <v>3348</v>
      </c>
      <c r="L133" s="7" t="n">
        <v>4377466058</v>
      </c>
      <c r="M133" s="7" t="n">
        <v>5024256552</v>
      </c>
      <c r="N133" s="8">
        <f>IF(J133=0,0,K133/J133)</f>
        <v/>
      </c>
      <c r="O133" s="6" t="n">
        <v>64</v>
      </c>
      <c r="P133" s="6" t="n">
        <v>238</v>
      </c>
      <c r="Q133" s="9" t="inlineStr">
        <is>
          <t>Yes</t>
        </is>
      </c>
    </row>
    <row r="134">
      <c r="A134" s="2" t="inlineStr">
        <is>
          <t>EV0133</t>
        </is>
      </c>
      <c r="B134" s="2" t="inlineStr">
        <is>
          <t>March</t>
        </is>
      </c>
      <c r="C134" s="2" t="n">
        <v>2025</v>
      </c>
      <c r="D134" s="2" t="inlineStr">
        <is>
          <t>Q1</t>
        </is>
      </c>
      <c r="E134" s="2" t="inlineStr">
        <is>
          <t>BEV</t>
        </is>
      </c>
      <c r="F134" s="2" t="inlineStr">
        <is>
          <t>3-Wheeler</t>
        </is>
      </c>
      <c r="G134" s="2" t="inlineStr">
        <is>
          <t>Mahindra</t>
        </is>
      </c>
      <c r="H134" s="2" t="inlineStr">
        <is>
          <t>East</t>
        </is>
      </c>
      <c r="I134" s="2" t="inlineStr">
        <is>
          <t>West Bengal</t>
        </is>
      </c>
      <c r="J134" s="2" t="n">
        <v>3496</v>
      </c>
      <c r="K134" s="2" t="n">
        <v>2636</v>
      </c>
      <c r="L134" s="3" t="n">
        <v>6065437640</v>
      </c>
      <c r="M134" s="3" t="n">
        <v>4573367740</v>
      </c>
      <c r="N134" s="4">
        <f>IF(J134=0,0,K134/J134)</f>
        <v/>
      </c>
      <c r="O134" s="2" t="n">
        <v>38</v>
      </c>
      <c r="P134" s="2" t="n">
        <v>187</v>
      </c>
      <c r="Q134" s="5" t="inlineStr">
        <is>
          <t>No</t>
        </is>
      </c>
    </row>
    <row r="135">
      <c r="A135" s="6" t="inlineStr">
        <is>
          <t>EV0134</t>
        </is>
      </c>
      <c r="B135" s="6" t="inlineStr">
        <is>
          <t>March</t>
        </is>
      </c>
      <c r="C135" s="6" t="n">
        <v>2025</v>
      </c>
      <c r="D135" s="6" t="inlineStr">
        <is>
          <t>Q1</t>
        </is>
      </c>
      <c r="E135" s="6" t="inlineStr">
        <is>
          <t>PHEV</t>
        </is>
      </c>
      <c r="F135" s="6" t="inlineStr">
        <is>
          <t>Passenger Car</t>
        </is>
      </c>
      <c r="G135" s="6" t="inlineStr">
        <is>
          <t>Ather Energy</t>
        </is>
      </c>
      <c r="H135" s="6" t="inlineStr">
        <is>
          <t>West</t>
        </is>
      </c>
      <c r="I135" s="6" t="inlineStr">
        <is>
          <t>Maharashtra</t>
        </is>
      </c>
      <c r="J135" s="6" t="n">
        <v>3621</v>
      </c>
      <c r="K135" s="6" t="n">
        <v>4321</v>
      </c>
      <c r="L135" s="7" t="n">
        <v>5931462333</v>
      </c>
      <c r="M135" s="7" t="n">
        <v>7078113433</v>
      </c>
      <c r="N135" s="8">
        <f>IF(J135=0,0,K135/J135)</f>
        <v/>
      </c>
      <c r="O135" s="6" t="n">
        <v>91</v>
      </c>
      <c r="P135" s="6" t="n">
        <v>56</v>
      </c>
      <c r="Q135" s="9" t="inlineStr">
        <is>
          <t>Yes</t>
        </is>
      </c>
    </row>
    <row r="136">
      <c r="A136" s="2" t="inlineStr">
        <is>
          <t>EV0135</t>
        </is>
      </c>
      <c r="B136" s="2" t="inlineStr">
        <is>
          <t>March</t>
        </is>
      </c>
      <c r="C136" s="2" t="n">
        <v>2025</v>
      </c>
      <c r="D136" s="2" t="inlineStr">
        <is>
          <t>Q1</t>
        </is>
      </c>
      <c r="E136" s="2" t="inlineStr">
        <is>
          <t>PHEV</t>
        </is>
      </c>
      <c r="F136" s="2" t="inlineStr">
        <is>
          <t>2-Wheeler</t>
        </is>
      </c>
      <c r="G136" s="2" t="inlineStr">
        <is>
          <t>Bajaj</t>
        </is>
      </c>
      <c r="H136" s="2" t="inlineStr">
        <is>
          <t>Central</t>
        </is>
      </c>
      <c r="I136" s="2" t="inlineStr">
        <is>
          <t>Madhya Pradesh</t>
        </is>
      </c>
      <c r="J136" s="2" t="n">
        <v>3187</v>
      </c>
      <c r="K136" s="2" t="n">
        <v>3981</v>
      </c>
      <c r="L136" s="3" t="n">
        <v>3214028947</v>
      </c>
      <c r="M136" s="3" t="n">
        <v>4014762861</v>
      </c>
      <c r="N136" s="4">
        <f>IF(J136=0,0,K136/J136)</f>
        <v/>
      </c>
      <c r="O136" s="2" t="n">
        <v>13</v>
      </c>
      <c r="P136" s="2" t="n">
        <v>91</v>
      </c>
      <c r="Q136" s="9" t="inlineStr">
        <is>
          <t>Yes</t>
        </is>
      </c>
    </row>
    <row r="137">
      <c r="A137" s="6" t="inlineStr">
        <is>
          <t>EV0136</t>
        </is>
      </c>
      <c r="B137" s="6" t="inlineStr">
        <is>
          <t>April</t>
        </is>
      </c>
      <c r="C137" s="6" t="n">
        <v>2025</v>
      </c>
      <c r="D137" s="6" t="inlineStr">
        <is>
          <t>Q2</t>
        </is>
      </c>
      <c r="E137" s="6" t="inlineStr">
        <is>
          <t>HEV</t>
        </is>
      </c>
      <c r="F137" s="6" t="inlineStr">
        <is>
          <t>Passenger Car</t>
        </is>
      </c>
      <c r="G137" s="6" t="inlineStr">
        <is>
          <t>Mahindra</t>
        </is>
      </c>
      <c r="H137" s="6" t="inlineStr">
        <is>
          <t>North</t>
        </is>
      </c>
      <c r="I137" s="6" t="inlineStr">
        <is>
          <t>Uttar Pradesh</t>
        </is>
      </c>
      <c r="J137" s="6" t="n">
        <v>1455</v>
      </c>
      <c r="K137" s="6" t="n">
        <v>1140</v>
      </c>
      <c r="L137" s="7" t="n">
        <v>343493490</v>
      </c>
      <c r="M137" s="7" t="n">
        <v>269128920</v>
      </c>
      <c r="N137" s="8">
        <f>IF(J137=0,0,K137/J137)</f>
        <v/>
      </c>
      <c r="O137" s="6" t="n">
        <v>43</v>
      </c>
      <c r="P137" s="6" t="n">
        <v>0</v>
      </c>
      <c r="Q137" s="5" t="inlineStr">
        <is>
          <t>No</t>
        </is>
      </c>
    </row>
    <row r="138">
      <c r="A138" s="2" t="inlineStr">
        <is>
          <t>EV0137</t>
        </is>
      </c>
      <c r="B138" s="2" t="inlineStr">
        <is>
          <t>April</t>
        </is>
      </c>
      <c r="C138" s="2" t="n">
        <v>2025</v>
      </c>
      <c r="D138" s="2" t="inlineStr">
        <is>
          <t>Q2</t>
        </is>
      </c>
      <c r="E138" s="2" t="inlineStr">
        <is>
          <t>BEV</t>
        </is>
      </c>
      <c r="F138" s="2" t="inlineStr">
        <is>
          <t>2-Wheeler</t>
        </is>
      </c>
      <c r="G138" s="2" t="inlineStr">
        <is>
          <t>Ola Electric</t>
        </is>
      </c>
      <c r="H138" s="2" t="inlineStr">
        <is>
          <t>South</t>
        </is>
      </c>
      <c r="I138" s="2" t="inlineStr">
        <is>
          <t>Telangana</t>
        </is>
      </c>
      <c r="J138" s="2" t="n">
        <v>4903</v>
      </c>
      <c r="K138" s="2" t="n">
        <v>3831</v>
      </c>
      <c r="L138" s="3" t="n">
        <v>9721271257</v>
      </c>
      <c r="M138" s="3" t="n">
        <v>7595796489</v>
      </c>
      <c r="N138" s="4">
        <f>IF(J138=0,0,K138/J138)</f>
        <v/>
      </c>
      <c r="O138" s="2" t="n">
        <v>90</v>
      </c>
      <c r="P138" s="2" t="n">
        <v>369</v>
      </c>
      <c r="Q138" s="5" t="inlineStr">
        <is>
          <t>No</t>
        </is>
      </c>
    </row>
    <row r="139">
      <c r="A139" s="6" t="inlineStr">
        <is>
          <t>EV0138</t>
        </is>
      </c>
      <c r="B139" s="6" t="inlineStr">
        <is>
          <t>April</t>
        </is>
      </c>
      <c r="C139" s="6" t="n">
        <v>2025</v>
      </c>
      <c r="D139" s="6" t="inlineStr">
        <is>
          <t>Q2</t>
        </is>
      </c>
      <c r="E139" s="6" t="inlineStr">
        <is>
          <t>HEV</t>
        </is>
      </c>
      <c r="F139" s="6" t="inlineStr">
        <is>
          <t>3-Wheeler</t>
        </is>
      </c>
      <c r="G139" s="6" t="inlineStr">
        <is>
          <t>Mahindra</t>
        </is>
      </c>
      <c r="H139" s="6" t="inlineStr">
        <is>
          <t>East</t>
        </is>
      </c>
      <c r="I139" s="6" t="inlineStr">
        <is>
          <t>Jharkhand</t>
        </is>
      </c>
      <c r="J139" s="6" t="n">
        <v>1311</v>
      </c>
      <c r="K139" s="6" t="n">
        <v>1573</v>
      </c>
      <c r="L139" s="7" t="n">
        <v>2348999982</v>
      </c>
      <c r="M139" s="7" t="n">
        <v>2818441626</v>
      </c>
      <c r="N139" s="8">
        <f>IF(J139=0,0,K139/J139)</f>
        <v/>
      </c>
      <c r="O139" s="6" t="n">
        <v>40</v>
      </c>
      <c r="P139" s="6" t="n">
        <v>0</v>
      </c>
      <c r="Q139" s="9" t="inlineStr">
        <is>
          <t>Yes</t>
        </is>
      </c>
    </row>
    <row r="140">
      <c r="A140" s="2" t="inlineStr">
        <is>
          <t>EV0139</t>
        </is>
      </c>
      <c r="B140" s="2" t="inlineStr">
        <is>
          <t>April</t>
        </is>
      </c>
      <c r="C140" s="2" t="n">
        <v>2025</v>
      </c>
      <c r="D140" s="2" t="inlineStr">
        <is>
          <t>Q2</t>
        </is>
      </c>
      <c r="E140" s="2" t="inlineStr">
        <is>
          <t>HEV</t>
        </is>
      </c>
      <c r="F140" s="2" t="inlineStr">
        <is>
          <t>Passenger Car</t>
        </is>
      </c>
      <c r="G140" s="2" t="inlineStr">
        <is>
          <t>Ola Electric</t>
        </is>
      </c>
      <c r="H140" s="2" t="inlineStr">
        <is>
          <t>West</t>
        </is>
      </c>
      <c r="I140" s="2" t="inlineStr">
        <is>
          <t>Maharashtra</t>
        </is>
      </c>
      <c r="J140" s="2" t="n">
        <v>4132</v>
      </c>
      <c r="K140" s="2" t="n">
        <v>3994</v>
      </c>
      <c r="L140" s="3" t="n">
        <v>4422595296</v>
      </c>
      <c r="M140" s="3" t="n">
        <v>4274890032</v>
      </c>
      <c r="N140" s="4">
        <f>IF(J140=0,0,K140/J140)</f>
        <v/>
      </c>
      <c r="O140" s="2" t="n">
        <v>114</v>
      </c>
      <c r="P140" s="2" t="n">
        <v>0</v>
      </c>
      <c r="Q140" s="5" t="inlineStr">
        <is>
          <t>No</t>
        </is>
      </c>
    </row>
    <row r="141">
      <c r="A141" s="6" t="inlineStr">
        <is>
          <t>EV0140</t>
        </is>
      </c>
      <c r="B141" s="6" t="inlineStr">
        <is>
          <t>April</t>
        </is>
      </c>
      <c r="C141" s="6" t="n">
        <v>2025</v>
      </c>
      <c r="D141" s="6" t="inlineStr">
        <is>
          <t>Q2</t>
        </is>
      </c>
      <c r="E141" s="6" t="inlineStr">
        <is>
          <t>BEV</t>
        </is>
      </c>
      <c r="F141" s="6" t="inlineStr">
        <is>
          <t>Passenger Car</t>
        </is>
      </c>
      <c r="G141" s="6" t="inlineStr">
        <is>
          <t>TVS Motor</t>
        </is>
      </c>
      <c r="H141" s="6" t="inlineStr">
        <is>
          <t>Central</t>
        </is>
      </c>
      <c r="I141" s="6" t="inlineStr">
        <is>
          <t>Chhattisgarh</t>
        </is>
      </c>
      <c r="J141" s="6" t="n">
        <v>3438</v>
      </c>
      <c r="K141" s="6" t="n">
        <v>2531</v>
      </c>
      <c r="L141" s="7" t="n">
        <v>4253252940</v>
      </c>
      <c r="M141" s="7" t="n">
        <v>3131176030</v>
      </c>
      <c r="N141" s="8">
        <f>IF(J141=0,0,K141/J141)</f>
        <v/>
      </c>
      <c r="O141" s="6" t="n">
        <v>20</v>
      </c>
      <c r="P141" s="6" t="n">
        <v>277</v>
      </c>
      <c r="Q141" s="5" t="inlineStr">
        <is>
          <t>No</t>
        </is>
      </c>
    </row>
    <row r="142">
      <c r="A142" s="2" t="inlineStr">
        <is>
          <t>EV0141</t>
        </is>
      </c>
      <c r="B142" s="2" t="inlineStr">
        <is>
          <t>May</t>
        </is>
      </c>
      <c r="C142" s="2" t="n">
        <v>2025</v>
      </c>
      <c r="D142" s="2" t="inlineStr">
        <is>
          <t>Q2</t>
        </is>
      </c>
      <c r="E142" s="2" t="inlineStr">
        <is>
          <t>BEV</t>
        </is>
      </c>
      <c r="F142" s="2" t="inlineStr">
        <is>
          <t>3-Wheeler</t>
        </is>
      </c>
      <c r="G142" s="2" t="inlineStr">
        <is>
          <t>Bajaj</t>
        </is>
      </c>
      <c r="H142" s="2" t="inlineStr">
        <is>
          <t>North</t>
        </is>
      </c>
      <c r="I142" s="2" t="inlineStr">
        <is>
          <t>Uttar Pradesh</t>
        </is>
      </c>
      <c r="J142" s="2" t="n">
        <v>674</v>
      </c>
      <c r="K142" s="2" t="n">
        <v>492</v>
      </c>
      <c r="L142" s="3" t="n">
        <v>996736812</v>
      </c>
      <c r="M142" s="3" t="n">
        <v>727588296</v>
      </c>
      <c r="N142" s="4">
        <f>IF(J142=0,0,K142/J142)</f>
        <v/>
      </c>
      <c r="O142" s="2" t="n">
        <v>21</v>
      </c>
      <c r="P142" s="2" t="n">
        <v>304</v>
      </c>
      <c r="Q142" s="5" t="inlineStr">
        <is>
          <t>No</t>
        </is>
      </c>
    </row>
    <row r="143">
      <c r="A143" s="6" t="inlineStr">
        <is>
          <t>EV0142</t>
        </is>
      </c>
      <c r="B143" s="6" t="inlineStr">
        <is>
          <t>May</t>
        </is>
      </c>
      <c r="C143" s="6" t="n">
        <v>2025</v>
      </c>
      <c r="D143" s="6" t="inlineStr">
        <is>
          <t>Q2</t>
        </is>
      </c>
      <c r="E143" s="6" t="inlineStr">
        <is>
          <t>BEV</t>
        </is>
      </c>
      <c r="F143" s="6" t="inlineStr">
        <is>
          <t>Commercial</t>
        </is>
      </c>
      <c r="G143" s="6" t="inlineStr">
        <is>
          <t>Ola Electric</t>
        </is>
      </c>
      <c r="H143" s="6" t="inlineStr">
        <is>
          <t>South</t>
        </is>
      </c>
      <c r="I143" s="6" t="inlineStr">
        <is>
          <t>Karnataka</t>
        </is>
      </c>
      <c r="J143" s="6" t="n">
        <v>2269</v>
      </c>
      <c r="K143" s="6" t="n">
        <v>2695</v>
      </c>
      <c r="L143" s="7" t="n">
        <v>2398938823</v>
      </c>
      <c r="M143" s="7" t="n">
        <v>2849334565</v>
      </c>
      <c r="N143" s="8">
        <f>IF(J143=0,0,K143/J143)</f>
        <v/>
      </c>
      <c r="O143" s="6" t="n">
        <v>104</v>
      </c>
      <c r="P143" s="6" t="n">
        <v>348</v>
      </c>
      <c r="Q143" s="9" t="inlineStr">
        <is>
          <t>Yes</t>
        </is>
      </c>
    </row>
    <row r="144">
      <c r="A144" s="2" t="inlineStr">
        <is>
          <t>EV0143</t>
        </is>
      </c>
      <c r="B144" s="2" t="inlineStr">
        <is>
          <t>May</t>
        </is>
      </c>
      <c r="C144" s="2" t="n">
        <v>2025</v>
      </c>
      <c r="D144" s="2" t="inlineStr">
        <is>
          <t>Q2</t>
        </is>
      </c>
      <c r="E144" s="2" t="inlineStr">
        <is>
          <t>HEV</t>
        </is>
      </c>
      <c r="F144" s="2" t="inlineStr">
        <is>
          <t>2-Wheeler</t>
        </is>
      </c>
      <c r="G144" s="2" t="inlineStr">
        <is>
          <t>Ather Energy</t>
        </is>
      </c>
      <c r="H144" s="2" t="inlineStr">
        <is>
          <t>East</t>
        </is>
      </c>
      <c r="I144" s="2" t="inlineStr">
        <is>
          <t>Odisha</t>
        </is>
      </c>
      <c r="J144" s="2" t="n">
        <v>1685</v>
      </c>
      <c r="K144" s="2" t="n">
        <v>2177</v>
      </c>
      <c r="L144" s="3" t="n">
        <v>3952718495</v>
      </c>
      <c r="M144" s="3" t="n">
        <v>5106865379</v>
      </c>
      <c r="N144" s="4">
        <f>IF(J144=0,0,K144/J144)</f>
        <v/>
      </c>
      <c r="O144" s="2" t="n">
        <v>37</v>
      </c>
      <c r="P144" s="2" t="n">
        <v>0</v>
      </c>
      <c r="Q144" s="9" t="inlineStr">
        <is>
          <t>Yes</t>
        </is>
      </c>
    </row>
    <row r="145">
      <c r="A145" s="6" t="inlineStr">
        <is>
          <t>EV0144</t>
        </is>
      </c>
      <c r="B145" s="6" t="inlineStr">
        <is>
          <t>May</t>
        </is>
      </c>
      <c r="C145" s="6" t="n">
        <v>2025</v>
      </c>
      <c r="D145" s="6" t="inlineStr">
        <is>
          <t>Q2</t>
        </is>
      </c>
      <c r="E145" s="6" t="inlineStr">
        <is>
          <t>BEV</t>
        </is>
      </c>
      <c r="F145" s="6" t="inlineStr">
        <is>
          <t>2-Wheeler</t>
        </is>
      </c>
      <c r="G145" s="6" t="inlineStr">
        <is>
          <t>Hyundai</t>
        </is>
      </c>
      <c r="H145" s="6" t="inlineStr">
        <is>
          <t>West</t>
        </is>
      </c>
      <c r="I145" s="6" t="inlineStr">
        <is>
          <t>Gujarat</t>
        </is>
      </c>
      <c r="J145" s="6" t="n">
        <v>621</v>
      </c>
      <c r="K145" s="6" t="n">
        <v>568</v>
      </c>
      <c r="L145" s="7" t="n">
        <v>669411297</v>
      </c>
      <c r="M145" s="7" t="n">
        <v>612279576</v>
      </c>
      <c r="N145" s="8">
        <f>IF(J145=0,0,K145/J145)</f>
        <v/>
      </c>
      <c r="O145" s="6" t="n">
        <v>7</v>
      </c>
      <c r="P145" s="6" t="n">
        <v>345</v>
      </c>
      <c r="Q145" s="5" t="inlineStr">
        <is>
          <t>No</t>
        </is>
      </c>
    </row>
    <row r="146">
      <c r="A146" s="2" t="inlineStr">
        <is>
          <t>EV0145</t>
        </is>
      </c>
      <c r="B146" s="2" t="inlineStr">
        <is>
          <t>May</t>
        </is>
      </c>
      <c r="C146" s="2" t="n">
        <v>2025</v>
      </c>
      <c r="D146" s="2" t="inlineStr">
        <is>
          <t>Q2</t>
        </is>
      </c>
      <c r="E146" s="2" t="inlineStr">
        <is>
          <t>PHEV</t>
        </is>
      </c>
      <c r="F146" s="2" t="inlineStr">
        <is>
          <t>2-Wheeler</t>
        </is>
      </c>
      <c r="G146" s="2" t="inlineStr">
        <is>
          <t>Hyundai</t>
        </is>
      </c>
      <c r="H146" s="2" t="inlineStr">
        <is>
          <t>Central</t>
        </is>
      </c>
      <c r="I146" s="2" t="inlineStr">
        <is>
          <t>Madhya Pradesh</t>
        </is>
      </c>
      <c r="J146" s="2" t="n">
        <v>3948</v>
      </c>
      <c r="K146" s="2" t="n">
        <v>4009</v>
      </c>
      <c r="L146" s="3" t="n">
        <v>1368301788</v>
      </c>
      <c r="M146" s="3" t="n">
        <v>1389443229</v>
      </c>
      <c r="N146" s="4">
        <f>IF(J146=0,0,K146/J146)</f>
        <v/>
      </c>
      <c r="O146" s="2" t="n">
        <v>62</v>
      </c>
      <c r="P146" s="2" t="n">
        <v>80</v>
      </c>
      <c r="Q146" s="9" t="inlineStr">
        <is>
          <t>Yes</t>
        </is>
      </c>
    </row>
    <row r="147">
      <c r="A147" s="6" t="inlineStr">
        <is>
          <t>EV0146</t>
        </is>
      </c>
      <c r="B147" s="6" t="inlineStr">
        <is>
          <t>June</t>
        </is>
      </c>
      <c r="C147" s="6" t="n">
        <v>2025</v>
      </c>
      <c r="D147" s="6" t="inlineStr">
        <is>
          <t>Q2</t>
        </is>
      </c>
      <c r="E147" s="6" t="inlineStr">
        <is>
          <t>HEV</t>
        </is>
      </c>
      <c r="F147" s="6" t="inlineStr">
        <is>
          <t>Commercial</t>
        </is>
      </c>
      <c r="G147" s="6" t="inlineStr">
        <is>
          <t>MG Motor</t>
        </is>
      </c>
      <c r="H147" s="6" t="inlineStr">
        <is>
          <t>North</t>
        </is>
      </c>
      <c r="I147" s="6" t="inlineStr">
        <is>
          <t>Punjab</t>
        </is>
      </c>
      <c r="J147" s="6" t="n">
        <v>4202</v>
      </c>
      <c r="K147" s="6" t="n">
        <v>4211</v>
      </c>
      <c r="L147" s="7" t="n">
        <v>1100444972</v>
      </c>
      <c r="M147" s="7" t="n">
        <v>1102801946</v>
      </c>
      <c r="N147" s="8">
        <f>IF(J147=0,0,K147/J147)</f>
        <v/>
      </c>
      <c r="O147" s="6" t="n">
        <v>98</v>
      </c>
      <c r="P147" s="6" t="n">
        <v>0</v>
      </c>
      <c r="Q147" s="9" t="inlineStr">
        <is>
          <t>Yes</t>
        </is>
      </c>
    </row>
    <row r="148">
      <c r="A148" s="2" t="inlineStr">
        <is>
          <t>EV0147</t>
        </is>
      </c>
      <c r="B148" s="2" t="inlineStr">
        <is>
          <t>June</t>
        </is>
      </c>
      <c r="C148" s="2" t="n">
        <v>2025</v>
      </c>
      <c r="D148" s="2" t="inlineStr">
        <is>
          <t>Q2</t>
        </is>
      </c>
      <c r="E148" s="2" t="inlineStr">
        <is>
          <t>PHEV</t>
        </is>
      </c>
      <c r="F148" s="2" t="inlineStr">
        <is>
          <t>2-Wheeler</t>
        </is>
      </c>
      <c r="G148" s="2" t="inlineStr">
        <is>
          <t>Tata Motors</t>
        </is>
      </c>
      <c r="H148" s="2" t="inlineStr">
        <is>
          <t>South</t>
        </is>
      </c>
      <c r="I148" s="2" t="inlineStr">
        <is>
          <t>Kerala</t>
        </is>
      </c>
      <c r="J148" s="2" t="n">
        <v>4423</v>
      </c>
      <c r="K148" s="2" t="n">
        <v>5344</v>
      </c>
      <c r="L148" s="3" t="n">
        <v>8261814583</v>
      </c>
      <c r="M148" s="3" t="n">
        <v>9982169824</v>
      </c>
      <c r="N148" s="4">
        <f>IF(J148=0,0,K148/J148)</f>
        <v/>
      </c>
      <c r="O148" s="2" t="n">
        <v>18</v>
      </c>
      <c r="P148" s="2" t="n">
        <v>93</v>
      </c>
      <c r="Q148" s="9" t="inlineStr">
        <is>
          <t>Yes</t>
        </is>
      </c>
    </row>
    <row r="149">
      <c r="A149" s="6" t="inlineStr">
        <is>
          <t>EV0148</t>
        </is>
      </c>
      <c r="B149" s="6" t="inlineStr">
        <is>
          <t>June</t>
        </is>
      </c>
      <c r="C149" s="6" t="n">
        <v>2025</v>
      </c>
      <c r="D149" s="6" t="inlineStr">
        <is>
          <t>Q2</t>
        </is>
      </c>
      <c r="E149" s="6" t="inlineStr">
        <is>
          <t>HEV</t>
        </is>
      </c>
      <c r="F149" s="6" t="inlineStr">
        <is>
          <t>SUV</t>
        </is>
      </c>
      <c r="G149" s="6" t="inlineStr">
        <is>
          <t>MG Motor</t>
        </is>
      </c>
      <c r="H149" s="6" t="inlineStr">
        <is>
          <t>East</t>
        </is>
      </c>
      <c r="I149" s="6" t="inlineStr">
        <is>
          <t>Jharkhand</t>
        </is>
      </c>
      <c r="J149" s="6" t="n">
        <v>1161</v>
      </c>
      <c r="K149" s="6" t="n">
        <v>1037</v>
      </c>
      <c r="L149" s="7" t="n">
        <v>815204277</v>
      </c>
      <c r="M149" s="7" t="n">
        <v>728136809</v>
      </c>
      <c r="N149" s="8">
        <f>IF(J149=0,0,K149/J149)</f>
        <v/>
      </c>
      <c r="O149" s="6" t="n">
        <v>13</v>
      </c>
      <c r="P149" s="6" t="n">
        <v>0</v>
      </c>
      <c r="Q149" s="5" t="inlineStr">
        <is>
          <t>No</t>
        </is>
      </c>
    </row>
    <row r="150">
      <c r="A150" s="2" t="inlineStr">
        <is>
          <t>EV0149</t>
        </is>
      </c>
      <c r="B150" s="2" t="inlineStr">
        <is>
          <t>June</t>
        </is>
      </c>
      <c r="C150" s="2" t="n">
        <v>2025</v>
      </c>
      <c r="D150" s="2" t="inlineStr">
        <is>
          <t>Q2</t>
        </is>
      </c>
      <c r="E150" s="2" t="inlineStr">
        <is>
          <t>PHEV</t>
        </is>
      </c>
      <c r="F150" s="2" t="inlineStr">
        <is>
          <t>Commercial</t>
        </is>
      </c>
      <c r="G150" s="2" t="inlineStr">
        <is>
          <t>Bajaj</t>
        </is>
      </c>
      <c r="H150" s="2" t="inlineStr">
        <is>
          <t>West</t>
        </is>
      </c>
      <c r="I150" s="2" t="inlineStr">
        <is>
          <t>Gujarat</t>
        </is>
      </c>
      <c r="J150" s="2" t="n">
        <v>4992</v>
      </c>
      <c r="K150" s="2" t="n">
        <v>5627</v>
      </c>
      <c r="L150" s="3" t="n">
        <v>8374718976</v>
      </c>
      <c r="M150" s="3" t="n">
        <v>9440012756</v>
      </c>
      <c r="N150" s="4">
        <f>IF(J150=0,0,K150/J150)</f>
        <v/>
      </c>
      <c r="O150" s="2" t="n">
        <v>72</v>
      </c>
      <c r="P150" s="2" t="n">
        <v>88</v>
      </c>
      <c r="Q150" s="9" t="inlineStr">
        <is>
          <t>Yes</t>
        </is>
      </c>
    </row>
    <row r="151">
      <c r="A151" s="6" t="inlineStr">
        <is>
          <t>EV0150</t>
        </is>
      </c>
      <c r="B151" s="6" t="inlineStr">
        <is>
          <t>June</t>
        </is>
      </c>
      <c r="C151" s="6" t="n">
        <v>2025</v>
      </c>
      <c r="D151" s="6" t="inlineStr">
        <is>
          <t>Q2</t>
        </is>
      </c>
      <c r="E151" s="6" t="inlineStr">
        <is>
          <t>PHEV</t>
        </is>
      </c>
      <c r="F151" s="6" t="inlineStr">
        <is>
          <t>Commercial</t>
        </is>
      </c>
      <c r="G151" s="6" t="inlineStr">
        <is>
          <t>Bajaj</t>
        </is>
      </c>
      <c r="H151" s="6" t="inlineStr">
        <is>
          <t>Central</t>
        </is>
      </c>
      <c r="I151" s="6" t="inlineStr">
        <is>
          <t>Chhattisgarh</t>
        </is>
      </c>
      <c r="J151" s="6" t="n">
        <v>4024</v>
      </c>
      <c r="K151" s="6" t="n">
        <v>3056</v>
      </c>
      <c r="L151" s="7" t="n">
        <v>2252985288</v>
      </c>
      <c r="M151" s="7" t="n">
        <v>1711014672</v>
      </c>
      <c r="N151" s="8">
        <f>IF(J151=0,0,K151/J151)</f>
        <v/>
      </c>
      <c r="O151" s="6" t="n">
        <v>88</v>
      </c>
      <c r="P151" s="6" t="n">
        <v>91</v>
      </c>
      <c r="Q151" s="5" t="inlineStr">
        <is>
          <t>No</t>
        </is>
      </c>
    </row>
    <row r="152">
      <c r="A152" s="2" t="inlineStr">
        <is>
          <t>EV0151</t>
        </is>
      </c>
      <c r="B152" s="2" t="inlineStr">
        <is>
          <t>July</t>
        </is>
      </c>
      <c r="C152" s="2" t="n">
        <v>2025</v>
      </c>
      <c r="D152" s="2" t="inlineStr">
        <is>
          <t>Q3</t>
        </is>
      </c>
      <c r="E152" s="2" t="inlineStr">
        <is>
          <t>PHEV</t>
        </is>
      </c>
      <c r="F152" s="2" t="inlineStr">
        <is>
          <t>SUV</t>
        </is>
      </c>
      <c r="G152" s="2" t="inlineStr">
        <is>
          <t>Ola Electric</t>
        </is>
      </c>
      <c r="H152" s="2" t="inlineStr">
        <is>
          <t>North</t>
        </is>
      </c>
      <c r="I152" s="2" t="inlineStr">
        <is>
          <t>Haryana</t>
        </is>
      </c>
      <c r="J152" s="2" t="n">
        <v>3889</v>
      </c>
      <c r="K152" s="2" t="n">
        <v>3513</v>
      </c>
      <c r="L152" s="3" t="n">
        <v>7708433568</v>
      </c>
      <c r="M152" s="3" t="n">
        <v>6963159456</v>
      </c>
      <c r="N152" s="4">
        <f>IF(J152=0,0,K152/J152)</f>
        <v/>
      </c>
      <c r="O152" s="2" t="n">
        <v>58</v>
      </c>
      <c r="P152" s="2" t="n">
        <v>75</v>
      </c>
      <c r="Q152" s="5" t="inlineStr">
        <is>
          <t>No</t>
        </is>
      </c>
    </row>
    <row r="153">
      <c r="A153" s="6" t="inlineStr">
        <is>
          <t>EV0152</t>
        </is>
      </c>
      <c r="B153" s="6" t="inlineStr">
        <is>
          <t>July</t>
        </is>
      </c>
      <c r="C153" s="6" t="n">
        <v>2025</v>
      </c>
      <c r="D153" s="6" t="inlineStr">
        <is>
          <t>Q3</t>
        </is>
      </c>
      <c r="E153" s="6" t="inlineStr">
        <is>
          <t>PHEV</t>
        </is>
      </c>
      <c r="F153" s="6" t="inlineStr">
        <is>
          <t>SUV</t>
        </is>
      </c>
      <c r="G153" s="6" t="inlineStr">
        <is>
          <t>Hero Electric</t>
        </is>
      </c>
      <c r="H153" s="6" t="inlineStr">
        <is>
          <t>South</t>
        </is>
      </c>
      <c r="I153" s="6" t="inlineStr">
        <is>
          <t>Tamil Nadu</t>
        </is>
      </c>
      <c r="J153" s="6" t="n">
        <v>2588</v>
      </c>
      <c r="K153" s="6" t="n">
        <v>2392</v>
      </c>
      <c r="L153" s="7" t="n">
        <v>1863913832</v>
      </c>
      <c r="M153" s="7" t="n">
        <v>1722751888</v>
      </c>
      <c r="N153" s="8">
        <f>IF(J153=0,0,K153/J153)</f>
        <v/>
      </c>
      <c r="O153" s="6" t="n">
        <v>65</v>
      </c>
      <c r="P153" s="6" t="n">
        <v>93</v>
      </c>
      <c r="Q153" s="5" t="inlineStr">
        <is>
          <t>No</t>
        </is>
      </c>
    </row>
    <row r="154">
      <c r="A154" s="2" t="inlineStr">
        <is>
          <t>EV0153</t>
        </is>
      </c>
      <c r="B154" s="2" t="inlineStr">
        <is>
          <t>July</t>
        </is>
      </c>
      <c r="C154" s="2" t="n">
        <v>2025</v>
      </c>
      <c r="D154" s="2" t="inlineStr">
        <is>
          <t>Q3</t>
        </is>
      </c>
      <c r="E154" s="2" t="inlineStr">
        <is>
          <t>BEV</t>
        </is>
      </c>
      <c r="F154" s="2" t="inlineStr">
        <is>
          <t>2-Wheeler</t>
        </is>
      </c>
      <c r="G154" s="2" t="inlineStr">
        <is>
          <t>MG Motor</t>
        </is>
      </c>
      <c r="H154" s="2" t="inlineStr">
        <is>
          <t>East</t>
        </is>
      </c>
      <c r="I154" s="2" t="inlineStr">
        <is>
          <t>West Bengal</t>
        </is>
      </c>
      <c r="J154" s="2" t="n">
        <v>4037</v>
      </c>
      <c r="K154" s="2" t="n">
        <v>3059</v>
      </c>
      <c r="L154" s="3" t="n">
        <v>6632766778</v>
      </c>
      <c r="M154" s="3" t="n">
        <v>5025918646</v>
      </c>
      <c r="N154" s="4">
        <f>IF(J154=0,0,K154/J154)</f>
        <v/>
      </c>
      <c r="O154" s="2" t="n">
        <v>76</v>
      </c>
      <c r="P154" s="2" t="n">
        <v>246</v>
      </c>
      <c r="Q154" s="5" t="inlineStr">
        <is>
          <t>No</t>
        </is>
      </c>
    </row>
    <row r="155">
      <c r="A155" s="6" t="inlineStr">
        <is>
          <t>EV0154</t>
        </is>
      </c>
      <c r="B155" s="6" t="inlineStr">
        <is>
          <t>July</t>
        </is>
      </c>
      <c r="C155" s="6" t="n">
        <v>2025</v>
      </c>
      <c r="D155" s="6" t="inlineStr">
        <is>
          <t>Q3</t>
        </is>
      </c>
      <c r="E155" s="6" t="inlineStr">
        <is>
          <t>HEV</t>
        </is>
      </c>
      <c r="F155" s="6" t="inlineStr">
        <is>
          <t>Commercial</t>
        </is>
      </c>
      <c r="G155" s="6" t="inlineStr">
        <is>
          <t>TVS Motor</t>
        </is>
      </c>
      <c r="H155" s="6" t="inlineStr">
        <is>
          <t>West</t>
        </is>
      </c>
      <c r="I155" s="6" t="inlineStr">
        <is>
          <t>Maharashtra</t>
        </is>
      </c>
      <c r="J155" s="6" t="n">
        <v>3200</v>
      </c>
      <c r="K155" s="6" t="n">
        <v>3526</v>
      </c>
      <c r="L155" s="7" t="n">
        <v>5769779200</v>
      </c>
      <c r="M155" s="7" t="n">
        <v>6357575456</v>
      </c>
      <c r="N155" s="8">
        <f>IF(J155=0,0,K155/J155)</f>
        <v/>
      </c>
      <c r="O155" s="6" t="n">
        <v>50</v>
      </c>
      <c r="P155" s="6" t="n">
        <v>0</v>
      </c>
      <c r="Q155" s="9" t="inlineStr">
        <is>
          <t>Yes</t>
        </is>
      </c>
    </row>
    <row r="156">
      <c r="A156" s="2" t="inlineStr">
        <is>
          <t>EV0155</t>
        </is>
      </c>
      <c r="B156" s="2" t="inlineStr">
        <is>
          <t>July</t>
        </is>
      </c>
      <c r="C156" s="2" t="n">
        <v>2025</v>
      </c>
      <c r="D156" s="2" t="inlineStr">
        <is>
          <t>Q3</t>
        </is>
      </c>
      <c r="E156" s="2" t="inlineStr">
        <is>
          <t>PHEV</t>
        </is>
      </c>
      <c r="F156" s="2" t="inlineStr">
        <is>
          <t>2-Wheeler</t>
        </is>
      </c>
      <c r="G156" s="2" t="inlineStr">
        <is>
          <t>Ather Energy</t>
        </is>
      </c>
      <c r="H156" s="2" t="inlineStr">
        <is>
          <t>Central</t>
        </is>
      </c>
      <c r="I156" s="2" t="inlineStr">
        <is>
          <t>Uttarakhand</t>
        </is>
      </c>
      <c r="J156" s="2" t="n">
        <v>3059</v>
      </c>
      <c r="K156" s="2" t="n">
        <v>2786</v>
      </c>
      <c r="L156" s="3" t="n">
        <v>6755012278</v>
      </c>
      <c r="M156" s="3" t="n">
        <v>6152162212</v>
      </c>
      <c r="N156" s="4">
        <f>IF(J156=0,0,K156/J156)</f>
        <v/>
      </c>
      <c r="O156" s="2" t="n">
        <v>24</v>
      </c>
      <c r="P156" s="2" t="n">
        <v>63</v>
      </c>
      <c r="Q156" s="5" t="inlineStr">
        <is>
          <t>No</t>
        </is>
      </c>
    </row>
    <row r="157">
      <c r="A157" s="6" t="inlineStr">
        <is>
          <t>EV0156</t>
        </is>
      </c>
      <c r="B157" s="6" t="inlineStr">
        <is>
          <t>August</t>
        </is>
      </c>
      <c r="C157" s="6" t="n">
        <v>2025</v>
      </c>
      <c r="D157" s="6" t="inlineStr">
        <is>
          <t>Q3</t>
        </is>
      </c>
      <c r="E157" s="6" t="inlineStr">
        <is>
          <t>BEV</t>
        </is>
      </c>
      <c r="F157" s="6" t="inlineStr">
        <is>
          <t>2-Wheeler</t>
        </is>
      </c>
      <c r="G157" s="6" t="inlineStr">
        <is>
          <t>Hero Electric</t>
        </is>
      </c>
      <c r="H157" s="6" t="inlineStr">
        <is>
          <t>North</t>
        </is>
      </c>
      <c r="I157" s="6" t="inlineStr">
        <is>
          <t>Uttar Pradesh</t>
        </is>
      </c>
      <c r="J157" s="6" t="n">
        <v>3511</v>
      </c>
      <c r="K157" s="6" t="n">
        <v>2699</v>
      </c>
      <c r="L157" s="7" t="n">
        <v>4383128889</v>
      </c>
      <c r="M157" s="7" t="n">
        <v>3369428901</v>
      </c>
      <c r="N157" s="8">
        <f>IF(J157=0,0,K157/J157)</f>
        <v/>
      </c>
      <c r="O157" s="6" t="n">
        <v>108</v>
      </c>
      <c r="P157" s="6" t="n">
        <v>295</v>
      </c>
      <c r="Q157" s="5" t="inlineStr">
        <is>
          <t>No</t>
        </is>
      </c>
    </row>
    <row r="158">
      <c r="A158" s="2" t="inlineStr">
        <is>
          <t>EV0157</t>
        </is>
      </c>
      <c r="B158" s="2" t="inlineStr">
        <is>
          <t>August</t>
        </is>
      </c>
      <c r="C158" s="2" t="n">
        <v>2025</v>
      </c>
      <c r="D158" s="2" t="inlineStr">
        <is>
          <t>Q3</t>
        </is>
      </c>
      <c r="E158" s="2" t="inlineStr">
        <is>
          <t>HEV</t>
        </is>
      </c>
      <c r="F158" s="2" t="inlineStr">
        <is>
          <t>Commercial</t>
        </is>
      </c>
      <c r="G158" s="2" t="inlineStr">
        <is>
          <t>Bajaj</t>
        </is>
      </c>
      <c r="H158" s="2" t="inlineStr">
        <is>
          <t>South</t>
        </is>
      </c>
      <c r="I158" s="2" t="inlineStr">
        <is>
          <t>Telangana</t>
        </is>
      </c>
      <c r="J158" s="2" t="n">
        <v>715</v>
      </c>
      <c r="K158" s="2" t="n">
        <v>761</v>
      </c>
      <c r="L158" s="3" t="n">
        <v>859256255</v>
      </c>
      <c r="M158" s="3" t="n">
        <v>914537077</v>
      </c>
      <c r="N158" s="4">
        <f>IF(J158=0,0,K158/J158)</f>
        <v/>
      </c>
      <c r="O158" s="2" t="n">
        <v>8</v>
      </c>
      <c r="P158" s="2" t="n">
        <v>0</v>
      </c>
      <c r="Q158" s="9" t="inlineStr">
        <is>
          <t>Yes</t>
        </is>
      </c>
    </row>
    <row r="159">
      <c r="A159" s="6" t="inlineStr">
        <is>
          <t>EV0158</t>
        </is>
      </c>
      <c r="B159" s="6" t="inlineStr">
        <is>
          <t>August</t>
        </is>
      </c>
      <c r="C159" s="6" t="n">
        <v>2025</v>
      </c>
      <c r="D159" s="6" t="inlineStr">
        <is>
          <t>Q3</t>
        </is>
      </c>
      <c r="E159" s="6" t="inlineStr">
        <is>
          <t>PHEV</t>
        </is>
      </c>
      <c r="F159" s="6" t="inlineStr">
        <is>
          <t>Passenger Car</t>
        </is>
      </c>
      <c r="G159" s="6" t="inlineStr">
        <is>
          <t>Hero Electric</t>
        </is>
      </c>
      <c r="H159" s="6" t="inlineStr">
        <is>
          <t>East</t>
        </is>
      </c>
      <c r="I159" s="6" t="inlineStr">
        <is>
          <t>Odisha</t>
        </is>
      </c>
      <c r="J159" s="6" t="n">
        <v>3375</v>
      </c>
      <c r="K159" s="6" t="n">
        <v>2374</v>
      </c>
      <c r="L159" s="7" t="n">
        <v>2297835000</v>
      </c>
      <c r="M159" s="7" t="n">
        <v>1616314160</v>
      </c>
      <c r="N159" s="8">
        <f>IF(J159=0,0,K159/J159)</f>
        <v/>
      </c>
      <c r="O159" s="6" t="n">
        <v>89</v>
      </c>
      <c r="P159" s="6" t="n">
        <v>86</v>
      </c>
      <c r="Q159" s="5" t="inlineStr">
        <is>
          <t>No</t>
        </is>
      </c>
    </row>
    <row r="160">
      <c r="A160" s="2" t="inlineStr">
        <is>
          <t>EV0159</t>
        </is>
      </c>
      <c r="B160" s="2" t="inlineStr">
        <is>
          <t>August</t>
        </is>
      </c>
      <c r="C160" s="2" t="n">
        <v>2025</v>
      </c>
      <c r="D160" s="2" t="inlineStr">
        <is>
          <t>Q3</t>
        </is>
      </c>
      <c r="E160" s="2" t="inlineStr">
        <is>
          <t>BEV</t>
        </is>
      </c>
      <c r="F160" s="2" t="inlineStr">
        <is>
          <t>3-Wheeler</t>
        </is>
      </c>
      <c r="G160" s="2" t="inlineStr">
        <is>
          <t>Tata Motors</t>
        </is>
      </c>
      <c r="H160" s="2" t="inlineStr">
        <is>
          <t>West</t>
        </is>
      </c>
      <c r="I160" s="2" t="inlineStr">
        <is>
          <t>Goa</t>
        </is>
      </c>
      <c r="J160" s="2" t="n">
        <v>1251</v>
      </c>
      <c r="K160" s="2" t="n">
        <v>1435</v>
      </c>
      <c r="L160" s="3" t="n">
        <v>1228897332</v>
      </c>
      <c r="M160" s="3" t="n">
        <v>1409646420</v>
      </c>
      <c r="N160" s="4">
        <f>IF(J160=0,0,K160/J160)</f>
        <v/>
      </c>
      <c r="O160" s="2" t="n">
        <v>58</v>
      </c>
      <c r="P160" s="2" t="n">
        <v>372</v>
      </c>
      <c r="Q160" s="9" t="inlineStr">
        <is>
          <t>Yes</t>
        </is>
      </c>
    </row>
    <row r="161">
      <c r="A161" s="6" t="inlineStr">
        <is>
          <t>EV0160</t>
        </is>
      </c>
      <c r="B161" s="6" t="inlineStr">
        <is>
          <t>August</t>
        </is>
      </c>
      <c r="C161" s="6" t="n">
        <v>2025</v>
      </c>
      <c r="D161" s="6" t="inlineStr">
        <is>
          <t>Q3</t>
        </is>
      </c>
      <c r="E161" s="6" t="inlineStr">
        <is>
          <t>PHEV</t>
        </is>
      </c>
      <c r="F161" s="6" t="inlineStr">
        <is>
          <t>3-Wheeler</t>
        </is>
      </c>
      <c r="G161" s="6" t="inlineStr">
        <is>
          <t>Hero Electric</t>
        </is>
      </c>
      <c r="H161" s="6" t="inlineStr">
        <is>
          <t>Central</t>
        </is>
      </c>
      <c r="I161" s="6" t="inlineStr">
        <is>
          <t>Chhattisgarh</t>
        </is>
      </c>
      <c r="J161" s="6" t="n">
        <v>3052</v>
      </c>
      <c r="K161" s="6" t="n">
        <v>3457</v>
      </c>
      <c r="L161" s="7" t="n">
        <v>7509931268</v>
      </c>
      <c r="M161" s="7" t="n">
        <v>8506498163</v>
      </c>
      <c r="N161" s="8">
        <f>IF(J161=0,0,K161/J161)</f>
        <v/>
      </c>
      <c r="O161" s="6" t="n">
        <v>15</v>
      </c>
      <c r="P161" s="6" t="n">
        <v>88</v>
      </c>
      <c r="Q161" s="9" t="inlineStr">
        <is>
          <t>Yes</t>
        </is>
      </c>
    </row>
    <row r="162">
      <c r="A162" s="2" t="inlineStr">
        <is>
          <t>EV0161</t>
        </is>
      </c>
      <c r="B162" s="2" t="inlineStr">
        <is>
          <t>September</t>
        </is>
      </c>
      <c r="C162" s="2" t="n">
        <v>2025</v>
      </c>
      <c r="D162" s="2" t="inlineStr">
        <is>
          <t>Q3</t>
        </is>
      </c>
      <c r="E162" s="2" t="inlineStr">
        <is>
          <t>BEV</t>
        </is>
      </c>
      <c r="F162" s="2" t="inlineStr">
        <is>
          <t>3-Wheeler</t>
        </is>
      </c>
      <c r="G162" s="2" t="inlineStr">
        <is>
          <t>Bajaj</t>
        </is>
      </c>
      <c r="H162" s="2" t="inlineStr">
        <is>
          <t>North</t>
        </is>
      </c>
      <c r="I162" s="2" t="inlineStr">
        <is>
          <t>Delhi</t>
        </is>
      </c>
      <c r="J162" s="2" t="n">
        <v>907</v>
      </c>
      <c r="K162" s="2" t="n">
        <v>1001</v>
      </c>
      <c r="L162" s="3" t="n">
        <v>1107702774</v>
      </c>
      <c r="M162" s="3" t="n">
        <v>1222503282</v>
      </c>
      <c r="N162" s="4">
        <f>IF(J162=0,0,K162/J162)</f>
        <v/>
      </c>
      <c r="O162" s="2" t="n">
        <v>89</v>
      </c>
      <c r="P162" s="2" t="n">
        <v>406</v>
      </c>
      <c r="Q162" s="9" t="inlineStr">
        <is>
          <t>Yes</t>
        </is>
      </c>
    </row>
    <row r="163">
      <c r="A163" s="6" t="inlineStr">
        <is>
          <t>EV0162</t>
        </is>
      </c>
      <c r="B163" s="6" t="inlineStr">
        <is>
          <t>September</t>
        </is>
      </c>
      <c r="C163" s="6" t="n">
        <v>2025</v>
      </c>
      <c r="D163" s="6" t="inlineStr">
        <is>
          <t>Q3</t>
        </is>
      </c>
      <c r="E163" s="6" t="inlineStr">
        <is>
          <t>PHEV</t>
        </is>
      </c>
      <c r="F163" s="6" t="inlineStr">
        <is>
          <t>Commercial</t>
        </is>
      </c>
      <c r="G163" s="6" t="inlineStr">
        <is>
          <t>Revolt Motors</t>
        </is>
      </c>
      <c r="H163" s="6" t="inlineStr">
        <is>
          <t>South</t>
        </is>
      </c>
      <c r="I163" s="6" t="inlineStr">
        <is>
          <t>Telangana</t>
        </is>
      </c>
      <c r="J163" s="6" t="n">
        <v>3892</v>
      </c>
      <c r="K163" s="6" t="n">
        <v>3362</v>
      </c>
      <c r="L163" s="7" t="n">
        <v>8675018912</v>
      </c>
      <c r="M163" s="7" t="n">
        <v>7493682832</v>
      </c>
      <c r="N163" s="8">
        <f>IF(J163=0,0,K163/J163)</f>
        <v/>
      </c>
      <c r="O163" s="6" t="n">
        <v>49</v>
      </c>
      <c r="P163" s="6" t="n">
        <v>57</v>
      </c>
      <c r="Q163" s="5" t="inlineStr">
        <is>
          <t>No</t>
        </is>
      </c>
    </row>
    <row r="164">
      <c r="A164" s="2" t="inlineStr">
        <is>
          <t>EV0163</t>
        </is>
      </c>
      <c r="B164" s="2" t="inlineStr">
        <is>
          <t>September</t>
        </is>
      </c>
      <c r="C164" s="2" t="n">
        <v>2025</v>
      </c>
      <c r="D164" s="2" t="inlineStr">
        <is>
          <t>Q3</t>
        </is>
      </c>
      <c r="E164" s="2" t="inlineStr">
        <is>
          <t>BEV</t>
        </is>
      </c>
      <c r="F164" s="2" t="inlineStr">
        <is>
          <t>Passenger Car</t>
        </is>
      </c>
      <c r="G164" s="2" t="inlineStr">
        <is>
          <t>Bajaj</t>
        </is>
      </c>
      <c r="H164" s="2" t="inlineStr">
        <is>
          <t>East</t>
        </is>
      </c>
      <c r="I164" s="2" t="inlineStr">
        <is>
          <t>Jharkhand</t>
        </is>
      </c>
      <c r="J164" s="2" t="n">
        <v>4486</v>
      </c>
      <c r="K164" s="2" t="n">
        <v>4558</v>
      </c>
      <c r="L164" s="3" t="n">
        <v>6161987544</v>
      </c>
      <c r="M164" s="3" t="n">
        <v>6260887032</v>
      </c>
      <c r="N164" s="4">
        <f>IF(J164=0,0,K164/J164)</f>
        <v/>
      </c>
      <c r="O164" s="2" t="n">
        <v>33</v>
      </c>
      <c r="P164" s="2" t="n">
        <v>203</v>
      </c>
      <c r="Q164" s="9" t="inlineStr">
        <is>
          <t>Yes</t>
        </is>
      </c>
    </row>
    <row r="165">
      <c r="A165" s="6" t="inlineStr">
        <is>
          <t>EV0164</t>
        </is>
      </c>
      <c r="B165" s="6" t="inlineStr">
        <is>
          <t>September</t>
        </is>
      </c>
      <c r="C165" s="6" t="n">
        <v>2025</v>
      </c>
      <c r="D165" s="6" t="inlineStr">
        <is>
          <t>Q3</t>
        </is>
      </c>
      <c r="E165" s="6" t="inlineStr">
        <is>
          <t>HEV</t>
        </is>
      </c>
      <c r="F165" s="6" t="inlineStr">
        <is>
          <t>2-Wheeler</t>
        </is>
      </c>
      <c r="G165" s="6" t="inlineStr">
        <is>
          <t>Tata Motors</t>
        </is>
      </c>
      <c r="H165" s="6" t="inlineStr">
        <is>
          <t>West</t>
        </is>
      </c>
      <c r="I165" s="6" t="inlineStr">
        <is>
          <t>Goa</t>
        </is>
      </c>
      <c r="J165" s="6" t="n">
        <v>2174</v>
      </c>
      <c r="K165" s="6" t="n">
        <v>1914</v>
      </c>
      <c r="L165" s="7" t="n">
        <v>2100038346</v>
      </c>
      <c r="M165" s="7" t="n">
        <v>1848883806</v>
      </c>
      <c r="N165" s="8">
        <f>IF(J165=0,0,K165/J165)</f>
        <v/>
      </c>
      <c r="O165" s="6" t="n">
        <v>103</v>
      </c>
      <c r="P165" s="6" t="n">
        <v>0</v>
      </c>
      <c r="Q165" s="5" t="inlineStr">
        <is>
          <t>No</t>
        </is>
      </c>
    </row>
    <row r="166">
      <c r="A166" s="2" t="inlineStr">
        <is>
          <t>EV0165</t>
        </is>
      </c>
      <c r="B166" s="2" t="inlineStr">
        <is>
          <t>September</t>
        </is>
      </c>
      <c r="C166" s="2" t="n">
        <v>2025</v>
      </c>
      <c r="D166" s="2" t="inlineStr">
        <is>
          <t>Q3</t>
        </is>
      </c>
      <c r="E166" s="2" t="inlineStr">
        <is>
          <t>PHEV</t>
        </is>
      </c>
      <c r="F166" s="2" t="inlineStr">
        <is>
          <t>Passenger Car</t>
        </is>
      </c>
      <c r="G166" s="2" t="inlineStr">
        <is>
          <t>Hero Electric</t>
        </is>
      </c>
      <c r="H166" s="2" t="inlineStr">
        <is>
          <t>Central</t>
        </is>
      </c>
      <c r="I166" s="2" t="inlineStr">
        <is>
          <t>Madhya Pradesh</t>
        </is>
      </c>
      <c r="J166" s="2" t="n">
        <v>1482</v>
      </c>
      <c r="K166" s="2" t="n">
        <v>1044</v>
      </c>
      <c r="L166" s="3" t="n">
        <v>2795493636</v>
      </c>
      <c r="M166" s="3" t="n">
        <v>1969295112</v>
      </c>
      <c r="N166" s="4">
        <f>IF(J166=0,0,K166/J166)</f>
        <v/>
      </c>
      <c r="O166" s="2" t="n">
        <v>21</v>
      </c>
      <c r="P166" s="2" t="n">
        <v>61</v>
      </c>
      <c r="Q166" s="5" t="inlineStr">
        <is>
          <t>No</t>
        </is>
      </c>
    </row>
    <row r="167">
      <c r="A167" s="6" t="inlineStr">
        <is>
          <t>EV0166</t>
        </is>
      </c>
      <c r="B167" s="6" t="inlineStr">
        <is>
          <t>October</t>
        </is>
      </c>
      <c r="C167" s="6" t="n">
        <v>2025</v>
      </c>
      <c r="D167" s="6" t="inlineStr">
        <is>
          <t>Q4</t>
        </is>
      </c>
      <c r="E167" s="6" t="inlineStr">
        <is>
          <t>HEV</t>
        </is>
      </c>
      <c r="F167" s="6" t="inlineStr">
        <is>
          <t>3-Wheeler</t>
        </is>
      </c>
      <c r="G167" s="6" t="inlineStr">
        <is>
          <t>TVS Motor</t>
        </is>
      </c>
      <c r="H167" s="6" t="inlineStr">
        <is>
          <t>North</t>
        </is>
      </c>
      <c r="I167" s="6" t="inlineStr">
        <is>
          <t>Uttar Pradesh</t>
        </is>
      </c>
      <c r="J167" s="6" t="n">
        <v>3401</v>
      </c>
      <c r="K167" s="6" t="n">
        <v>2527</v>
      </c>
      <c r="L167" s="7" t="n">
        <v>875512628</v>
      </c>
      <c r="M167" s="7" t="n">
        <v>650520556</v>
      </c>
      <c r="N167" s="8">
        <f>IF(J167=0,0,K167/J167)</f>
        <v/>
      </c>
      <c r="O167" s="6" t="n">
        <v>60</v>
      </c>
      <c r="P167" s="6" t="n">
        <v>0</v>
      </c>
      <c r="Q167" s="5" t="inlineStr">
        <is>
          <t>No</t>
        </is>
      </c>
    </row>
    <row r="168">
      <c r="A168" s="2" t="inlineStr">
        <is>
          <t>EV0167</t>
        </is>
      </c>
      <c r="B168" s="2" t="inlineStr">
        <is>
          <t>October</t>
        </is>
      </c>
      <c r="C168" s="2" t="n">
        <v>2025</v>
      </c>
      <c r="D168" s="2" t="inlineStr">
        <is>
          <t>Q4</t>
        </is>
      </c>
      <c r="E168" s="2" t="inlineStr">
        <is>
          <t>PHEV</t>
        </is>
      </c>
      <c r="F168" s="2" t="inlineStr">
        <is>
          <t>2-Wheeler</t>
        </is>
      </c>
      <c r="G168" s="2" t="inlineStr">
        <is>
          <t>Hero Electric</t>
        </is>
      </c>
      <c r="H168" s="2" t="inlineStr">
        <is>
          <t>South</t>
        </is>
      </c>
      <c r="I168" s="2" t="inlineStr">
        <is>
          <t>Tamil Nadu</t>
        </is>
      </c>
      <c r="J168" s="2" t="n">
        <v>4016</v>
      </c>
      <c r="K168" s="2" t="n">
        <v>4192</v>
      </c>
      <c r="L168" s="3" t="n">
        <v>7357050960</v>
      </c>
      <c r="M168" s="3" t="n">
        <v>7679471520</v>
      </c>
      <c r="N168" s="4">
        <f>IF(J168=0,0,K168/J168)</f>
        <v/>
      </c>
      <c r="O168" s="2" t="n">
        <v>19</v>
      </c>
      <c r="P168" s="2" t="n">
        <v>68</v>
      </c>
      <c r="Q168" s="9" t="inlineStr">
        <is>
          <t>Yes</t>
        </is>
      </c>
    </row>
    <row r="169">
      <c r="A169" s="6" t="inlineStr">
        <is>
          <t>EV0168</t>
        </is>
      </c>
      <c r="B169" s="6" t="inlineStr">
        <is>
          <t>October</t>
        </is>
      </c>
      <c r="C169" s="6" t="n">
        <v>2025</v>
      </c>
      <c r="D169" s="6" t="inlineStr">
        <is>
          <t>Q4</t>
        </is>
      </c>
      <c r="E169" s="6" t="inlineStr">
        <is>
          <t>BEV</t>
        </is>
      </c>
      <c r="F169" s="6" t="inlineStr">
        <is>
          <t>Passenger Car</t>
        </is>
      </c>
      <c r="G169" s="6" t="inlineStr">
        <is>
          <t>Hyundai</t>
        </is>
      </c>
      <c r="H169" s="6" t="inlineStr">
        <is>
          <t>East</t>
        </is>
      </c>
      <c r="I169" s="6" t="inlineStr">
        <is>
          <t>Jharkhand</t>
        </is>
      </c>
      <c r="J169" s="6" t="n">
        <v>4269</v>
      </c>
      <c r="K169" s="6" t="n">
        <v>5119</v>
      </c>
      <c r="L169" s="7" t="n">
        <v>6820666680</v>
      </c>
      <c r="M169" s="7" t="n">
        <v>8178728680</v>
      </c>
      <c r="N169" s="8">
        <f>IF(J169=0,0,K169/J169)</f>
        <v/>
      </c>
      <c r="O169" s="6" t="n">
        <v>60</v>
      </c>
      <c r="P169" s="6" t="n">
        <v>225</v>
      </c>
      <c r="Q169" s="9" t="inlineStr">
        <is>
          <t>Yes</t>
        </is>
      </c>
    </row>
    <row r="170">
      <c r="A170" s="2" t="inlineStr">
        <is>
          <t>EV0169</t>
        </is>
      </c>
      <c r="B170" s="2" t="inlineStr">
        <is>
          <t>October</t>
        </is>
      </c>
      <c r="C170" s="2" t="n">
        <v>2025</v>
      </c>
      <c r="D170" s="2" t="inlineStr">
        <is>
          <t>Q4</t>
        </is>
      </c>
      <c r="E170" s="2" t="inlineStr">
        <is>
          <t>BEV</t>
        </is>
      </c>
      <c r="F170" s="2" t="inlineStr">
        <is>
          <t>SUV</t>
        </is>
      </c>
      <c r="G170" s="2" t="inlineStr">
        <is>
          <t>Bajaj</t>
        </is>
      </c>
      <c r="H170" s="2" t="inlineStr">
        <is>
          <t>West</t>
        </is>
      </c>
      <c r="I170" s="2" t="inlineStr">
        <is>
          <t>Maharashtra</t>
        </is>
      </c>
      <c r="J170" s="2" t="n">
        <v>3780</v>
      </c>
      <c r="K170" s="2" t="n">
        <v>3834</v>
      </c>
      <c r="L170" s="3" t="n">
        <v>6577067700</v>
      </c>
      <c r="M170" s="3" t="n">
        <v>6671025810</v>
      </c>
      <c r="N170" s="4">
        <f>IF(J170=0,0,K170/J170)</f>
        <v/>
      </c>
      <c r="O170" s="2" t="n">
        <v>100</v>
      </c>
      <c r="P170" s="2" t="n">
        <v>338</v>
      </c>
      <c r="Q170" s="9" t="inlineStr">
        <is>
          <t>Yes</t>
        </is>
      </c>
    </row>
    <row r="171">
      <c r="A171" s="6" t="inlineStr">
        <is>
          <t>EV0170</t>
        </is>
      </c>
      <c r="B171" s="6" t="inlineStr">
        <is>
          <t>October</t>
        </is>
      </c>
      <c r="C171" s="6" t="n">
        <v>2025</v>
      </c>
      <c r="D171" s="6" t="inlineStr">
        <is>
          <t>Q4</t>
        </is>
      </c>
      <c r="E171" s="6" t="inlineStr">
        <is>
          <t>BEV</t>
        </is>
      </c>
      <c r="F171" s="6" t="inlineStr">
        <is>
          <t>Passenger Car</t>
        </is>
      </c>
      <c r="G171" s="6" t="inlineStr">
        <is>
          <t>Hyundai</t>
        </is>
      </c>
      <c r="H171" s="6" t="inlineStr">
        <is>
          <t>Central</t>
        </is>
      </c>
      <c r="I171" s="6" t="inlineStr">
        <is>
          <t>Chhattisgarh</t>
        </is>
      </c>
      <c r="J171" s="6" t="n">
        <v>1125</v>
      </c>
      <c r="K171" s="6" t="n">
        <v>1132</v>
      </c>
      <c r="L171" s="7" t="n">
        <v>628044750</v>
      </c>
      <c r="M171" s="7" t="n">
        <v>631952584</v>
      </c>
      <c r="N171" s="8">
        <f>IF(J171=0,0,K171/J171)</f>
        <v/>
      </c>
      <c r="O171" s="6" t="n">
        <v>29</v>
      </c>
      <c r="P171" s="6" t="n">
        <v>441</v>
      </c>
      <c r="Q171" s="9" t="inlineStr">
        <is>
          <t>Yes</t>
        </is>
      </c>
    </row>
    <row r="172">
      <c r="A172" s="2" t="inlineStr">
        <is>
          <t>EV0171</t>
        </is>
      </c>
      <c r="B172" s="2" t="inlineStr">
        <is>
          <t>November</t>
        </is>
      </c>
      <c r="C172" s="2" t="n">
        <v>2025</v>
      </c>
      <c r="D172" s="2" t="inlineStr">
        <is>
          <t>Q4</t>
        </is>
      </c>
      <c r="E172" s="2" t="inlineStr">
        <is>
          <t>PHEV</t>
        </is>
      </c>
      <c r="F172" s="2" t="inlineStr">
        <is>
          <t>3-Wheeler</t>
        </is>
      </c>
      <c r="G172" s="2" t="inlineStr">
        <is>
          <t>Ola Electric</t>
        </is>
      </c>
      <c r="H172" s="2" t="inlineStr">
        <is>
          <t>North</t>
        </is>
      </c>
      <c r="I172" s="2" t="inlineStr">
        <is>
          <t>Punjab</t>
        </is>
      </c>
      <c r="J172" s="2" t="n">
        <v>1342</v>
      </c>
      <c r="K172" s="2" t="n">
        <v>1057</v>
      </c>
      <c r="L172" s="3" t="n">
        <v>1217753614</v>
      </c>
      <c r="M172" s="3" t="n">
        <v>959139769</v>
      </c>
      <c r="N172" s="4">
        <f>IF(J172=0,0,K172/J172)</f>
        <v/>
      </c>
      <c r="O172" s="2" t="n">
        <v>82</v>
      </c>
      <c r="P172" s="2" t="n">
        <v>61</v>
      </c>
      <c r="Q172" s="5" t="inlineStr">
        <is>
          <t>No</t>
        </is>
      </c>
    </row>
    <row r="173">
      <c r="A173" s="6" t="inlineStr">
        <is>
          <t>EV0172</t>
        </is>
      </c>
      <c r="B173" s="6" t="inlineStr">
        <is>
          <t>November</t>
        </is>
      </c>
      <c r="C173" s="6" t="n">
        <v>2025</v>
      </c>
      <c r="D173" s="6" t="inlineStr">
        <is>
          <t>Q4</t>
        </is>
      </c>
      <c r="E173" s="6" t="inlineStr">
        <is>
          <t>HEV</t>
        </is>
      </c>
      <c r="F173" s="6" t="inlineStr">
        <is>
          <t>2-Wheeler</t>
        </is>
      </c>
      <c r="G173" s="6" t="inlineStr">
        <is>
          <t>Hyundai</t>
        </is>
      </c>
      <c r="H173" s="6" t="inlineStr">
        <is>
          <t>South</t>
        </is>
      </c>
      <c r="I173" s="6" t="inlineStr">
        <is>
          <t>Karnataka</t>
        </is>
      </c>
      <c r="J173" s="6" t="n">
        <v>4547</v>
      </c>
      <c r="K173" s="6" t="n">
        <v>4448</v>
      </c>
      <c r="L173" s="7" t="n">
        <v>11115036919</v>
      </c>
      <c r="M173" s="7" t="n">
        <v>10873033696</v>
      </c>
      <c r="N173" s="8">
        <f>IF(J173=0,0,K173/J173)</f>
        <v/>
      </c>
      <c r="O173" s="6" t="n">
        <v>102</v>
      </c>
      <c r="P173" s="6" t="n">
        <v>0</v>
      </c>
      <c r="Q173" s="5" t="inlineStr">
        <is>
          <t>No</t>
        </is>
      </c>
    </row>
    <row r="174">
      <c r="A174" s="2" t="inlineStr">
        <is>
          <t>EV0173</t>
        </is>
      </c>
      <c r="B174" s="2" t="inlineStr">
        <is>
          <t>November</t>
        </is>
      </c>
      <c r="C174" s="2" t="n">
        <v>2025</v>
      </c>
      <c r="D174" s="2" t="inlineStr">
        <is>
          <t>Q4</t>
        </is>
      </c>
      <c r="E174" s="2" t="inlineStr">
        <is>
          <t>HEV</t>
        </is>
      </c>
      <c r="F174" s="2" t="inlineStr">
        <is>
          <t>Commercial</t>
        </is>
      </c>
      <c r="G174" s="2" t="inlineStr">
        <is>
          <t>Bajaj</t>
        </is>
      </c>
      <c r="H174" s="2" t="inlineStr">
        <is>
          <t>East</t>
        </is>
      </c>
      <c r="I174" s="2" t="inlineStr">
        <is>
          <t>Jharkhand</t>
        </is>
      </c>
      <c r="J174" s="2" t="n">
        <v>3147</v>
      </c>
      <c r="K174" s="2" t="n">
        <v>3834</v>
      </c>
      <c r="L174" s="3" t="n">
        <v>4424625354</v>
      </c>
      <c r="M174" s="3" t="n">
        <v>5390534988</v>
      </c>
      <c r="N174" s="4">
        <f>IF(J174=0,0,K174/J174)</f>
        <v/>
      </c>
      <c r="O174" s="2" t="n">
        <v>24</v>
      </c>
      <c r="P174" s="2" t="n">
        <v>0</v>
      </c>
      <c r="Q174" s="9" t="inlineStr">
        <is>
          <t>Yes</t>
        </is>
      </c>
    </row>
    <row r="175">
      <c r="A175" s="6" t="inlineStr">
        <is>
          <t>EV0174</t>
        </is>
      </c>
      <c r="B175" s="6" t="inlineStr">
        <is>
          <t>November</t>
        </is>
      </c>
      <c r="C175" s="6" t="n">
        <v>2025</v>
      </c>
      <c r="D175" s="6" t="inlineStr">
        <is>
          <t>Q4</t>
        </is>
      </c>
      <c r="E175" s="6" t="inlineStr">
        <is>
          <t>BEV</t>
        </is>
      </c>
      <c r="F175" s="6" t="inlineStr">
        <is>
          <t>SUV</t>
        </is>
      </c>
      <c r="G175" s="6" t="inlineStr">
        <is>
          <t>Revolt Motors</t>
        </is>
      </c>
      <c r="H175" s="6" t="inlineStr">
        <is>
          <t>West</t>
        </is>
      </c>
      <c r="I175" s="6" t="inlineStr">
        <is>
          <t>Goa</t>
        </is>
      </c>
      <c r="J175" s="6" t="n">
        <v>2980</v>
      </c>
      <c r="K175" s="6" t="n">
        <v>3509</v>
      </c>
      <c r="L175" s="7" t="n">
        <v>940493960</v>
      </c>
      <c r="M175" s="7" t="n">
        <v>1107447418</v>
      </c>
      <c r="N175" s="8">
        <f>IF(J175=0,0,K175/J175)</f>
        <v/>
      </c>
      <c r="O175" s="6" t="n">
        <v>69</v>
      </c>
      <c r="P175" s="6" t="n">
        <v>360</v>
      </c>
      <c r="Q175" s="9" t="inlineStr">
        <is>
          <t>Yes</t>
        </is>
      </c>
    </row>
    <row r="176">
      <c r="A176" s="2" t="inlineStr">
        <is>
          <t>EV0175</t>
        </is>
      </c>
      <c r="B176" s="2" t="inlineStr">
        <is>
          <t>November</t>
        </is>
      </c>
      <c r="C176" s="2" t="n">
        <v>2025</v>
      </c>
      <c r="D176" s="2" t="inlineStr">
        <is>
          <t>Q4</t>
        </is>
      </c>
      <c r="E176" s="2" t="inlineStr">
        <is>
          <t>PHEV</t>
        </is>
      </c>
      <c r="F176" s="2" t="inlineStr">
        <is>
          <t>SUV</t>
        </is>
      </c>
      <c r="G176" s="2" t="inlineStr">
        <is>
          <t>Revolt Motors</t>
        </is>
      </c>
      <c r="H176" s="2" t="inlineStr">
        <is>
          <t>Central</t>
        </is>
      </c>
      <c r="I176" s="2" t="inlineStr">
        <is>
          <t>Madhya Pradesh</t>
        </is>
      </c>
      <c r="J176" s="2" t="n">
        <v>808</v>
      </c>
      <c r="K176" s="2" t="n">
        <v>593</v>
      </c>
      <c r="L176" s="3" t="n">
        <v>1037543104</v>
      </c>
      <c r="M176" s="3" t="n">
        <v>761464184</v>
      </c>
      <c r="N176" s="4">
        <f>IF(J176=0,0,K176/J176)</f>
        <v/>
      </c>
      <c r="O176" s="2" t="n">
        <v>87</v>
      </c>
      <c r="P176" s="2" t="n">
        <v>54</v>
      </c>
      <c r="Q176" s="5" t="inlineStr">
        <is>
          <t>No</t>
        </is>
      </c>
    </row>
    <row r="177">
      <c r="A177" s="6" t="inlineStr">
        <is>
          <t>EV0176</t>
        </is>
      </c>
      <c r="B177" s="6" t="inlineStr">
        <is>
          <t>December</t>
        </is>
      </c>
      <c r="C177" s="6" t="n">
        <v>2025</v>
      </c>
      <c r="D177" s="6" t="inlineStr">
        <is>
          <t>Q4</t>
        </is>
      </c>
      <c r="E177" s="6" t="inlineStr">
        <is>
          <t>HEV</t>
        </is>
      </c>
      <c r="F177" s="6" t="inlineStr">
        <is>
          <t>Commercial</t>
        </is>
      </c>
      <c r="G177" s="6" t="inlineStr">
        <is>
          <t>TVS Motor</t>
        </is>
      </c>
      <c r="H177" s="6" t="inlineStr">
        <is>
          <t>North</t>
        </is>
      </c>
      <c r="I177" s="6" t="inlineStr">
        <is>
          <t>Delhi</t>
        </is>
      </c>
      <c r="J177" s="6" t="n">
        <v>3649</v>
      </c>
      <c r="K177" s="6" t="n">
        <v>3567</v>
      </c>
      <c r="L177" s="7" t="n">
        <v>8775739179</v>
      </c>
      <c r="M177" s="7" t="n">
        <v>8578531557</v>
      </c>
      <c r="N177" s="8">
        <f>IF(J177=0,0,K177/J177)</f>
        <v/>
      </c>
      <c r="O177" s="6" t="n">
        <v>106</v>
      </c>
      <c r="P177" s="6" t="n">
        <v>0</v>
      </c>
      <c r="Q177" s="5" t="inlineStr">
        <is>
          <t>No</t>
        </is>
      </c>
    </row>
    <row r="178">
      <c r="A178" s="2" t="inlineStr">
        <is>
          <t>EV0177</t>
        </is>
      </c>
      <c r="B178" s="2" t="inlineStr">
        <is>
          <t>December</t>
        </is>
      </c>
      <c r="C178" s="2" t="n">
        <v>2025</v>
      </c>
      <c r="D178" s="2" t="inlineStr">
        <is>
          <t>Q4</t>
        </is>
      </c>
      <c r="E178" s="2" t="inlineStr">
        <is>
          <t>PHEV</t>
        </is>
      </c>
      <c r="F178" s="2" t="inlineStr">
        <is>
          <t>Commercial</t>
        </is>
      </c>
      <c r="G178" s="2" t="inlineStr">
        <is>
          <t>Ola Electric</t>
        </is>
      </c>
      <c r="H178" s="2" t="inlineStr">
        <is>
          <t>South</t>
        </is>
      </c>
      <c r="I178" s="2" t="inlineStr">
        <is>
          <t>Tamil Nadu</t>
        </is>
      </c>
      <c r="J178" s="2" t="n">
        <v>3133</v>
      </c>
      <c r="K178" s="2" t="n">
        <v>3330</v>
      </c>
      <c r="L178" s="3" t="n">
        <v>6838981838</v>
      </c>
      <c r="M178" s="3" t="n">
        <v>7269010380</v>
      </c>
      <c r="N178" s="4">
        <f>IF(J178=0,0,K178/J178)</f>
        <v/>
      </c>
      <c r="O178" s="2" t="n">
        <v>12</v>
      </c>
      <c r="P178" s="2" t="n">
        <v>59</v>
      </c>
      <c r="Q178" s="9" t="inlineStr">
        <is>
          <t>Yes</t>
        </is>
      </c>
    </row>
    <row r="179">
      <c r="A179" s="6" t="inlineStr">
        <is>
          <t>EV0178</t>
        </is>
      </c>
      <c r="B179" s="6" t="inlineStr">
        <is>
          <t>December</t>
        </is>
      </c>
      <c r="C179" s="6" t="n">
        <v>2025</v>
      </c>
      <c r="D179" s="6" t="inlineStr">
        <is>
          <t>Q4</t>
        </is>
      </c>
      <c r="E179" s="6" t="inlineStr">
        <is>
          <t>BEV</t>
        </is>
      </c>
      <c r="F179" s="6" t="inlineStr">
        <is>
          <t>Passenger Car</t>
        </is>
      </c>
      <c r="G179" s="6" t="inlineStr">
        <is>
          <t>MG Motor</t>
        </is>
      </c>
      <c r="H179" s="6" t="inlineStr">
        <is>
          <t>East</t>
        </is>
      </c>
      <c r="I179" s="6" t="inlineStr">
        <is>
          <t>Jharkhand</t>
        </is>
      </c>
      <c r="J179" s="6" t="n">
        <v>4633</v>
      </c>
      <c r="K179" s="6" t="n">
        <v>5039</v>
      </c>
      <c r="L179" s="7" t="n">
        <v>1131253509</v>
      </c>
      <c r="M179" s="7" t="n">
        <v>1230387747</v>
      </c>
      <c r="N179" s="8">
        <f>IF(J179=0,0,K179/J179)</f>
        <v/>
      </c>
      <c r="O179" s="6" t="n">
        <v>95</v>
      </c>
      <c r="P179" s="6" t="n">
        <v>306</v>
      </c>
      <c r="Q179" s="9" t="inlineStr">
        <is>
          <t>Yes</t>
        </is>
      </c>
    </row>
    <row r="180">
      <c r="A180" s="2" t="inlineStr">
        <is>
          <t>EV0179</t>
        </is>
      </c>
      <c r="B180" s="2" t="inlineStr">
        <is>
          <t>December</t>
        </is>
      </c>
      <c r="C180" s="2" t="n">
        <v>2025</v>
      </c>
      <c r="D180" s="2" t="inlineStr">
        <is>
          <t>Q4</t>
        </is>
      </c>
      <c r="E180" s="2" t="inlineStr">
        <is>
          <t>PHEV</t>
        </is>
      </c>
      <c r="F180" s="2" t="inlineStr">
        <is>
          <t>Commercial</t>
        </is>
      </c>
      <c r="G180" s="2" t="inlineStr">
        <is>
          <t>TVS Motor</t>
        </is>
      </c>
      <c r="H180" s="2" t="inlineStr">
        <is>
          <t>West</t>
        </is>
      </c>
      <c r="I180" s="2" t="inlineStr">
        <is>
          <t>Goa</t>
        </is>
      </c>
      <c r="J180" s="2" t="n">
        <v>1800</v>
      </c>
      <c r="K180" s="2" t="n">
        <v>1653</v>
      </c>
      <c r="L180" s="3" t="n">
        <v>2279773800</v>
      </c>
      <c r="M180" s="3" t="n">
        <v>2093592273</v>
      </c>
      <c r="N180" s="4">
        <f>IF(J180=0,0,K180/J180)</f>
        <v/>
      </c>
      <c r="O180" s="2" t="n">
        <v>57</v>
      </c>
      <c r="P180" s="2" t="n">
        <v>74</v>
      </c>
      <c r="Q180" s="5" t="inlineStr">
        <is>
          <t>No</t>
        </is>
      </c>
    </row>
    <row r="181">
      <c r="A181" s="6" t="inlineStr">
        <is>
          <t>EV0180</t>
        </is>
      </c>
      <c r="B181" s="6" t="inlineStr">
        <is>
          <t>December</t>
        </is>
      </c>
      <c r="C181" s="6" t="n">
        <v>2025</v>
      </c>
      <c r="D181" s="6" t="inlineStr">
        <is>
          <t>Q4</t>
        </is>
      </c>
      <c r="E181" s="6" t="inlineStr">
        <is>
          <t>HEV</t>
        </is>
      </c>
      <c r="F181" s="6" t="inlineStr">
        <is>
          <t>Commercial</t>
        </is>
      </c>
      <c r="G181" s="6" t="inlineStr">
        <is>
          <t>Tata Motors</t>
        </is>
      </c>
      <c r="H181" s="6" t="inlineStr">
        <is>
          <t>Central</t>
        </is>
      </c>
      <c r="I181" s="6" t="inlineStr">
        <is>
          <t>Chhattisgarh</t>
        </is>
      </c>
      <c r="J181" s="6" t="n">
        <v>3241</v>
      </c>
      <c r="K181" s="6" t="n">
        <v>2396</v>
      </c>
      <c r="L181" s="7" t="n">
        <v>1543967026</v>
      </c>
      <c r="M181" s="7" t="n">
        <v>1141420856</v>
      </c>
      <c r="N181" s="8">
        <f>IF(J181=0,0,K181/J181)</f>
        <v/>
      </c>
      <c r="O181" s="6" t="n">
        <v>76</v>
      </c>
      <c r="P181" s="6" t="n">
        <v>0</v>
      </c>
      <c r="Q181" s="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0" t="inlineStr">
        <is>
          <t>EV Target Data — Summary</t>
        </is>
      </c>
    </row>
    <row r="3">
      <c r="A3" s="11" t="inlineStr">
        <is>
          <t>Total Records</t>
        </is>
      </c>
      <c r="B3" s="12">
        <f>COUNTA(EV_Target_Data!A2:A10000)-1</f>
        <v/>
      </c>
    </row>
    <row r="4">
      <c r="A4" s="11" t="inlineStr">
        <is>
          <t>Total Target Units</t>
        </is>
      </c>
      <c r="B4" s="12">
        <f>SUM(EV_Target_Data!J:J)</f>
        <v/>
      </c>
    </row>
    <row r="5">
      <c r="A5" s="11" t="inlineStr">
        <is>
          <t>Total Actual Units</t>
        </is>
      </c>
      <c r="B5" s="12">
        <f>SUM(EV_Target_Data!K:K)</f>
        <v/>
      </c>
    </row>
    <row r="6">
      <c r="A6" s="11" t="inlineStr">
        <is>
          <t>Overall Achievement</t>
        </is>
      </c>
      <c r="B6" s="13">
        <f>IFERROR(SUM(EV_Target_Data!K:K)/SUM(EV_Target_Data!J:J),0)</f>
        <v/>
      </c>
    </row>
    <row r="7">
      <c r="A7" s="11" t="inlineStr">
        <is>
          <t>Target Met Count</t>
        </is>
      </c>
      <c r="B7" s="12">
        <f>COUNTIF(EV_Target_Data!Q:Q,"Yes")</f>
        <v/>
      </c>
    </row>
    <row r="8">
      <c r="A8" s="11" t="inlineStr">
        <is>
          <t>Target Missed Count</t>
        </is>
      </c>
      <c r="B8" s="12">
        <f>COUNTIF(EV_Target_Data!Q:Q,"No")</f>
        <v/>
      </c>
    </row>
    <row r="9">
      <c r="A9" s="11" t="inlineStr">
        <is>
          <t>Total Target Revenue (₹)</t>
        </is>
      </c>
      <c r="B9" s="14">
        <f>SUM(EV_Target_Data!L:L)</f>
        <v/>
      </c>
    </row>
    <row r="10">
      <c r="A10" s="11" t="inlineStr">
        <is>
          <t>Total Actual Revenue (₹)</t>
        </is>
      </c>
      <c r="B10" s="14">
        <f>SUM(EV_Target_Data!M:M)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2026-04-07T09:42:13Z</dcterms:created>
  <dcterms:modified xmlns:dcterms="http://purl.org/dc/terms/" xmlns:xsi="http://www.w3.org/2001/XMLSchema-instance" xsi:type="dcterms:W3CDTF">2026-04-07T09:42:13Z</dcterms:modified>
</cp:coreProperties>
</file>